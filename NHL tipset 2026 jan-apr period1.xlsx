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morautiainen/nhl-stats/"/>
    </mc:Choice>
  </mc:AlternateContent>
  <xr:revisionPtr revIDLastSave="0" documentId="8_{E064B0B5-584A-5C46-B8E0-5721DF31558F}" xr6:coauthVersionLast="47" xr6:coauthVersionMax="47" xr10:uidLastSave="{00000000-0000-0000-0000-000000000000}"/>
  <bookViews>
    <workbookView xWindow="0" yWindow="760" windowWidth="27680" windowHeight="16840" xr2:uid="{00000000-000D-0000-FFFF-FFFF00000000}"/>
  </bookViews>
  <sheets>
    <sheet name="Spelarna" sheetId="2" r:id="rId1"/>
    <sheet name="Byten" sheetId="4" state="hidden" r:id="rId2"/>
    <sheet name="Tipsen" sheetId="1" r:id="rId3"/>
    <sheet name="Ställningen" sheetId="3" r:id="rId4"/>
    <sheet name="nya" sheetId="5" r:id="rId5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5" l="1"/>
  <c r="M23" i="5"/>
  <c r="K23" i="5"/>
  <c r="I23" i="5"/>
  <c r="G23" i="5"/>
  <c r="E23" i="5"/>
  <c r="C23" i="5"/>
  <c r="D13" i="3"/>
  <c r="D12" i="3"/>
  <c r="D11" i="3"/>
  <c r="D10" i="3"/>
  <c r="D9" i="3"/>
  <c r="D8" i="3"/>
  <c r="D7" i="3"/>
  <c r="G19" i="1"/>
  <c r="O19" i="1"/>
  <c r="K12" i="1"/>
  <c r="C19" i="1"/>
  <c r="M6" i="1"/>
  <c r="C7" i="1"/>
  <c r="G6" i="1"/>
  <c r="E6" i="1"/>
  <c r="I7" i="1"/>
  <c r="I6" i="1"/>
  <c r="K7" i="1"/>
  <c r="O7" i="1"/>
  <c r="G7" i="1"/>
  <c r="M21" i="1"/>
  <c r="I13" i="1"/>
  <c r="E12" i="1"/>
  <c r="I20" i="1"/>
  <c r="E14" i="1"/>
  <c r="K17" i="1"/>
  <c r="C11" i="1"/>
  <c r="O13" i="1"/>
  <c r="K10" i="1"/>
  <c r="O14" i="1"/>
  <c r="K19" i="1"/>
  <c r="C17" i="1"/>
  <c r="O12" i="1"/>
  <c r="C10" i="1"/>
  <c r="I18" i="1"/>
  <c r="O20" i="1"/>
  <c r="E17" i="1"/>
  <c r="M12" i="1"/>
  <c r="O17" i="1"/>
  <c r="G12" i="1"/>
  <c r="K14" i="1"/>
  <c r="G13" i="1"/>
  <c r="K11" i="1"/>
  <c r="E13" i="1"/>
  <c r="I17" i="1" l="1"/>
  <c r="E11" i="1"/>
  <c r="E18" i="1"/>
  <c r="K20" i="1"/>
  <c r="G10" i="1"/>
  <c r="C20" i="1"/>
  <c r="C13" i="1"/>
  <c r="K18" i="1"/>
  <c r="G20" i="1"/>
  <c r="O10" i="1"/>
  <c r="M20" i="1"/>
  <c r="C21" i="1"/>
  <c r="E21" i="1"/>
  <c r="C18" i="1"/>
  <c r="G21" i="1"/>
  <c r="G18" i="1"/>
  <c r="I21" i="1"/>
  <c r="K21" i="1"/>
  <c r="M19" i="1"/>
  <c r="C12" i="1"/>
  <c r="O21" i="1"/>
  <c r="K13" i="1"/>
  <c r="O18" i="1"/>
  <c r="M18" i="1"/>
  <c r="I12" i="1"/>
  <c r="E10" i="1"/>
  <c r="G17" i="1"/>
  <c r="I10" i="1"/>
  <c r="M10" i="1"/>
  <c r="I19" i="1"/>
  <c r="C14" i="1"/>
  <c r="E20" i="1"/>
  <c r="E19" i="1"/>
  <c r="G11" i="1"/>
  <c r="G14" i="1"/>
  <c r="M11" i="1"/>
  <c r="I14" i="1"/>
  <c r="O11" i="1"/>
  <c r="M14" i="1"/>
  <c r="M13" i="1"/>
  <c r="E7" i="1"/>
  <c r="O6" i="1"/>
  <c r="M7" i="1"/>
  <c r="K6" i="1"/>
  <c r="I11" i="1"/>
  <c r="M17" i="1"/>
  <c r="C6" i="1" l="1"/>
  <c r="M23" i="1"/>
  <c r="B12" i="3" s="1"/>
  <c r="G23" i="1"/>
  <c r="B9" i="3" s="1"/>
  <c r="E23" i="1"/>
  <c r="B8" i="3" s="1"/>
  <c r="K23" i="1"/>
  <c r="B11" i="3" s="1"/>
  <c r="O23" i="1"/>
  <c r="B13" i="3" s="1"/>
  <c r="I23" i="1"/>
  <c r="B10" i="3" s="1"/>
  <c r="C23" i="1" l="1"/>
  <c r="B7" i="3" s="1"/>
</calcChain>
</file>

<file path=xl/sharedStrings.xml><?xml version="1.0" encoding="utf-8"?>
<sst xmlns="http://schemas.openxmlformats.org/spreadsheetml/2006/main" count="402" uniqueCount="157">
  <si>
    <t>MV</t>
  </si>
  <si>
    <t>B</t>
  </si>
  <si>
    <t>F</t>
  </si>
  <si>
    <t>2:a femman</t>
  </si>
  <si>
    <t>1:a femman</t>
  </si>
  <si>
    <t>Totalpoäng</t>
  </si>
  <si>
    <t>Spelare</t>
  </si>
  <si>
    <t>Poäng</t>
  </si>
  <si>
    <t>Mattias</t>
  </si>
  <si>
    <t>Henrik</t>
  </si>
  <si>
    <t>Joakim</t>
  </si>
  <si>
    <t>Kent</t>
  </si>
  <si>
    <t>Tampa Bay</t>
  </si>
  <si>
    <t>Dallas</t>
  </si>
  <si>
    <t>Toronto</t>
  </si>
  <si>
    <t>Kjell</t>
  </si>
  <si>
    <t>Victor</t>
  </si>
  <si>
    <t>Fredrik</t>
  </si>
  <si>
    <t>Jarmo</t>
  </si>
  <si>
    <t>Winnipeg</t>
  </si>
  <si>
    <t>Boston</t>
  </si>
  <si>
    <t>Colorado</t>
  </si>
  <si>
    <t>McDavid</t>
  </si>
  <si>
    <t>Edmonton</t>
  </si>
  <si>
    <t>McDavid (Edm)</t>
  </si>
  <si>
    <t>20, 16, 13, 11, 9, 7, 5, 4, 3, 2, 1 p</t>
  </si>
  <si>
    <t>30, 24, 19, 15, 12, 10, 8, 6, 4, 2, 1 p</t>
  </si>
  <si>
    <t>Mål och assist ger 1p. Seger för målvakt ger 2p. Håller målvakten nollan ger det 2 extrapoäng.</t>
  </si>
  <si>
    <t>Placeringspoäng slutställning omgång 1 och 2:</t>
  </si>
  <si>
    <t>Placeringspoäng slutställning omgång 3:</t>
  </si>
  <si>
    <t>Tippare</t>
  </si>
  <si>
    <t>Om det blir 2 eller fler som delar en placering, får dessa dela på poängen som dessa platser ger (avrundat till närmaste heltal).</t>
  </si>
  <si>
    <t>(ex: är det 2 st som blir tvåa i omgång 1 och ska dela på 16+13=29p, så får de 15p var (14,5 avrundas till 15).</t>
  </si>
  <si>
    <t>in</t>
  </si>
  <si>
    <t>ut</t>
  </si>
  <si>
    <t>period 1/2</t>
  </si>
  <si>
    <t>period 2/3</t>
  </si>
  <si>
    <t>Vegas</t>
  </si>
  <si>
    <t xml:space="preserve">Den tippare som har flest placeringspoäng efter alla tre delomgångar vinner tipset. </t>
  </si>
  <si>
    <t>Makar</t>
  </si>
  <si>
    <t>NY Rangers</t>
  </si>
  <si>
    <t>Dahlin (Buf)</t>
  </si>
  <si>
    <t>Buffalo</t>
  </si>
  <si>
    <t>Dahlin</t>
  </si>
  <si>
    <r>
      <t xml:space="preserve">Man får </t>
    </r>
    <r>
      <rPr>
        <u/>
        <sz val="11"/>
        <rFont val="Calibri"/>
        <family val="2"/>
        <scheme val="minor"/>
      </rPr>
      <t>inte</t>
    </r>
    <r>
      <rPr>
        <sz val="11"/>
        <rFont val="Calibri"/>
        <family val="2"/>
        <scheme val="minor"/>
      </rPr>
      <t xml:space="preserve"> byta in en spelare som någon annan redan har i sitt lag.</t>
    </r>
  </si>
  <si>
    <r>
      <t xml:space="preserve">som vid start av tipset. </t>
    </r>
    <r>
      <rPr>
        <u/>
        <sz val="11"/>
        <rFont val="Calibri"/>
        <family val="2"/>
        <scheme val="minor"/>
      </rPr>
      <t>Minst</t>
    </r>
    <r>
      <rPr>
        <sz val="11"/>
        <rFont val="Calibri"/>
        <family val="2"/>
        <scheme val="minor"/>
      </rPr>
      <t xml:space="preserve"> 2 spelare </t>
    </r>
    <r>
      <rPr>
        <u/>
        <sz val="11"/>
        <rFont val="Calibri"/>
        <family val="2"/>
        <scheme val="minor"/>
      </rPr>
      <t>måste</t>
    </r>
    <r>
      <rPr>
        <sz val="11"/>
        <rFont val="Calibri"/>
        <family val="2"/>
        <scheme val="minor"/>
      </rPr>
      <t xml:space="preserve"> man byta (inkl ev byte av målvakt). </t>
    </r>
  </si>
  <si>
    <t>Ställning period 1</t>
  </si>
  <si>
    <t>Hopsamlade poäng på spelarna nollställs efter varje delomgång.</t>
  </si>
  <si>
    <t>MacKinnon</t>
  </si>
  <si>
    <t>Minnesota</t>
  </si>
  <si>
    <t>Oettinger (Dal)</t>
  </si>
  <si>
    <t>Bouchard (Edm)</t>
  </si>
  <si>
    <t>Morrissey (Win)</t>
  </si>
  <si>
    <t>Fox (NYR)</t>
  </si>
  <si>
    <t>Makar (Col)</t>
  </si>
  <si>
    <t>Bouchard</t>
  </si>
  <si>
    <t>Fox</t>
  </si>
  <si>
    <t>NJ Devils</t>
  </si>
  <si>
    <t>Morrissey</t>
  </si>
  <si>
    <t>300 kr går till vinnaren av period 1, 2 resp 3.</t>
  </si>
  <si>
    <t>2.100 kr går till totalvinnaren, 500 kr till totaltvåan.</t>
  </si>
  <si>
    <t>Timmy</t>
  </si>
  <si>
    <t>Draisaitl (Edm)</t>
  </si>
  <si>
    <t>MacKinnon (Col)</t>
  </si>
  <si>
    <t>Johnston (Dal)</t>
  </si>
  <si>
    <t>Kucherov (Tam)</t>
  </si>
  <si>
    <t>Werenski (Colu)</t>
  </si>
  <si>
    <t>Celebrini (SJS)</t>
  </si>
  <si>
    <t>Hutson (Mon)</t>
  </si>
  <si>
    <t>San Jose</t>
  </si>
  <si>
    <t>Werenski</t>
  </si>
  <si>
    <t>Columbus</t>
  </si>
  <si>
    <t>Johnston</t>
  </si>
  <si>
    <t>Draisaitl</t>
  </si>
  <si>
    <t>Montreal</t>
  </si>
  <si>
    <t>Hutson</t>
  </si>
  <si>
    <t>Kucherov</t>
  </si>
  <si>
    <t>Celebrini</t>
  </si>
  <si>
    <t>Hughes</t>
  </si>
  <si>
    <t>Nylander</t>
  </si>
  <si>
    <t>Washington</t>
  </si>
  <si>
    <t>Nylander (Tor)</t>
  </si>
  <si>
    <t>Boldy (Min)</t>
  </si>
  <si>
    <t>Rantanen (Dal)</t>
  </si>
  <si>
    <t>Carlson (Was)</t>
  </si>
  <si>
    <t>Blackwood (Col)</t>
  </si>
  <si>
    <t>Wallstedt (Min)</t>
  </si>
  <si>
    <t>Stone (Veg)</t>
  </si>
  <si>
    <t>Raddysh (Tam)</t>
  </si>
  <si>
    <t>Heiskanen (Dal)</t>
  </si>
  <si>
    <t>Vasilievskiy (Tam)</t>
  </si>
  <si>
    <t>Raddysh</t>
  </si>
  <si>
    <t>Heiskanen</t>
  </si>
  <si>
    <t>Carlson</t>
  </si>
  <si>
    <t>Boldy</t>
  </si>
  <si>
    <t>Rantanen</t>
  </si>
  <si>
    <t>Stone</t>
  </si>
  <si>
    <t>NHL-tipset jan26-apr26</t>
  </si>
  <si>
    <t>Kochetkov (Car)</t>
  </si>
  <si>
    <t>Q. Hughes (Min)</t>
  </si>
  <si>
    <t>Marner (Veg)</t>
  </si>
  <si>
    <t>Nugent-Hop (Edm)</t>
  </si>
  <si>
    <t>Nichushkin (Col)</t>
  </si>
  <si>
    <t>J. Hughes (NJD)</t>
  </si>
  <si>
    <t>Connor (Win)</t>
  </si>
  <si>
    <t>Hellebuyck (Win)</t>
  </si>
  <si>
    <t>Konecny (Phi)</t>
  </si>
  <si>
    <t>Gibson (Det)</t>
  </si>
  <si>
    <t>Hyman (Edm)</t>
  </si>
  <si>
    <t>Thompson (Was)</t>
  </si>
  <si>
    <t>Kuemper (LAK)</t>
  </si>
  <si>
    <t>Pasternak (Bos)</t>
  </si>
  <si>
    <t>Panarin (NYR)</t>
  </si>
  <si>
    <t>Gustavsson (Min)</t>
  </si>
  <si>
    <t>Lehkonen (Col)</t>
  </si>
  <si>
    <t>Thompson</t>
  </si>
  <si>
    <t>Pasternak</t>
  </si>
  <si>
    <t>Lehkonen</t>
  </si>
  <si>
    <t>Nugent-Hopkins</t>
  </si>
  <si>
    <t>Hyman</t>
  </si>
  <si>
    <t>Nichushkin</t>
  </si>
  <si>
    <t>Panarin</t>
  </si>
  <si>
    <t>Philadelphia</t>
  </si>
  <si>
    <t>Konecny</t>
  </si>
  <si>
    <t>Marner</t>
  </si>
  <si>
    <t>Connor</t>
  </si>
  <si>
    <t>J. Hughes</t>
  </si>
  <si>
    <t>Omgång 1 är mellan 27 december till 25 januari kl 10.00.</t>
  </si>
  <si>
    <r>
      <t xml:space="preserve">Byte av </t>
    </r>
    <r>
      <rPr>
        <u/>
        <sz val="11"/>
        <color theme="1"/>
        <rFont val="Calibri"/>
        <family val="2"/>
        <scheme val="minor"/>
      </rPr>
      <t>minst</t>
    </r>
    <r>
      <rPr>
        <sz val="11"/>
        <color theme="1"/>
        <rFont val="Calibri"/>
        <family val="2"/>
        <scheme val="minor"/>
      </rPr>
      <t xml:space="preserve"> 2 spelare sker 25 januari mellan kl 10.00 - 18.00.</t>
    </r>
  </si>
  <si>
    <t>Omgång 2 är mellan 25 januari kl 18.00 till 15 mars kl 10.00.</t>
  </si>
  <si>
    <r>
      <t xml:space="preserve">Byte av </t>
    </r>
    <r>
      <rPr>
        <u/>
        <sz val="11"/>
        <color theme="1"/>
        <rFont val="Calibri"/>
        <family val="2"/>
        <scheme val="minor"/>
      </rPr>
      <t>minst</t>
    </r>
    <r>
      <rPr>
        <sz val="11"/>
        <color theme="1"/>
        <rFont val="Calibri"/>
        <family val="2"/>
        <scheme val="minor"/>
      </rPr>
      <t xml:space="preserve"> 2 spelare sker 15 mars mellan kl 10.00 - 18.00.</t>
    </r>
  </si>
  <si>
    <t>Omgång 3 är mellan 15 mars kl 18.00 till 17 april.</t>
  </si>
  <si>
    <t>Poängligan den 25:e dec 2025 gäller vid bytena. Vid bytena gäller samma grundregler</t>
  </si>
  <si>
    <t>NHL-tipset Januari - April</t>
  </si>
  <si>
    <t>Scheifele</t>
  </si>
  <si>
    <t>Scheifele (Win)</t>
  </si>
  <si>
    <r>
      <rPr>
        <b/>
        <sz val="11"/>
        <color theme="1"/>
        <rFont val="Calibri"/>
        <family val="2"/>
        <scheme val="minor"/>
      </rPr>
      <t xml:space="preserve">Datum: </t>
    </r>
    <r>
      <rPr>
        <sz val="11"/>
        <color theme="1"/>
        <rFont val="Calibri"/>
        <family val="2"/>
        <scheme val="minor"/>
      </rPr>
      <t>2026-01-25</t>
    </r>
  </si>
  <si>
    <t>Kaprisov</t>
  </si>
  <si>
    <t>Tkachuk</t>
  </si>
  <si>
    <t>Matthews (FLA)</t>
  </si>
  <si>
    <t>Hagel</t>
  </si>
  <si>
    <t>Josi</t>
  </si>
  <si>
    <t>Bussi</t>
  </si>
  <si>
    <t>Dostal</t>
  </si>
  <si>
    <t>Vejmelka</t>
  </si>
  <si>
    <t>Markström</t>
  </si>
  <si>
    <t>Eichel</t>
  </si>
  <si>
    <t>McAvoy</t>
  </si>
  <si>
    <t>Sanderson</t>
  </si>
  <si>
    <t>Theodore</t>
  </si>
  <si>
    <t>Aho</t>
  </si>
  <si>
    <t>Debrincat</t>
  </si>
  <si>
    <t>Svechnikov</t>
  </si>
  <si>
    <t>Samuelsson</t>
  </si>
  <si>
    <t>Crosby</t>
  </si>
  <si>
    <t>Keller</t>
  </si>
  <si>
    <t>Zibanejad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</si>
</sst>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2" xfId="0" applyFont="1" applyBorder="1" applyAlignment="1">
      <alignment horizontal="left"/>
    </xf>
    <xf numFmtId="0" fontId="8" fillId="2" borderId="5" xfId="0" applyFont="1" applyFill="1" applyBorder="1" applyAlignment="1">
      <alignment horizontal="center"/>
    </xf>
    <xf numFmtId="0" fontId="9" fillId="0" borderId="0" xfId="0" applyFont="1"/>
    <xf numFmtId="0" fontId="9" fillId="0" borderId="3" xfId="0" applyFont="1" applyBorder="1" applyAlignment="1">
      <alignment horizontal="left"/>
    </xf>
    <xf numFmtId="0" fontId="9" fillId="2" borderId="6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16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0" fillId="3" borderId="0" xfId="0" applyFill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0" fontId="0" fillId="0" borderId="0" xfId="0" applyAlignment="1">
      <alignment horizontal="right"/>
    </xf>
    <xf numFmtId="0" fontId="10" fillId="0" borderId="0" xfId="0" applyFont="1"/>
    <xf numFmtId="2" fontId="0" fillId="0" borderId="0" xfId="0" applyNumberFormat="1"/>
    <xf numFmtId="0" fontId="11" fillId="0" borderId="1" xfId="0" applyFont="1" applyBorder="1" applyAlignment="1">
      <alignment horizontal="left"/>
    </xf>
    <xf numFmtId="0" fontId="11" fillId="2" borderId="4" xfId="0" applyFont="1" applyFill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2" borderId="5" xfId="0" applyFont="1" applyFill="1" applyBorder="1" applyAlignment="1">
      <alignment horizontal="center"/>
    </xf>
    <xf numFmtId="16" fontId="7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2" fillId="0" borderId="3" xfId="0" applyFont="1" applyBorder="1" applyAlignment="1">
      <alignment horizontal="left"/>
    </xf>
    <xf numFmtId="0" fontId="12" fillId="2" borderId="6" xfId="0" applyFont="1" applyFill="1" applyBorder="1" applyAlignment="1">
      <alignment horizontal="center"/>
    </xf>
    <xf numFmtId="0" fontId="13" fillId="0" borderId="0" xfId="0" applyFont="1"/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5" fillId="2" borderId="7" xfId="0" applyFont="1" applyFill="1" applyBorder="1" applyAlignment="1">
      <alignment horizontal="center"/>
    </xf>
    <xf numFmtId="0" fontId="15" fillId="0" borderId="2" xfId="0" applyFont="1" applyBorder="1" applyAlignment="1">
      <alignment horizontal="left"/>
    </xf>
    <xf numFmtId="0" fontId="16" fillId="0" borderId="2" xfId="0" applyFont="1" applyBorder="1" applyAlignment="1">
      <alignment horizontal="left"/>
    </xf>
  </cellXfs>
  <cellStyles count="1">
    <cellStyle name="Normaali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37"/>
  <sheetViews>
    <sheetView tabSelected="1" zoomScale="120" zoomScaleNormal="120" workbookViewId="0">
      <selection activeCell="C10" sqref="C10"/>
    </sheetView>
  </sheetViews>
  <sheetFormatPr baseColWidth="10" defaultColWidth="8.83203125" defaultRowHeight="15" x14ac:dyDescent="0.2"/>
  <cols>
    <col min="1" max="1" width="14.6640625" style="3" customWidth="1"/>
    <col min="2" max="2" width="12.33203125" customWidth="1"/>
    <col min="3" max="3" width="10.1640625" customWidth="1"/>
    <col min="4" max="4" width="5.33203125" customWidth="1"/>
    <col min="5" max="5" width="9.33203125" bestFit="1" customWidth="1"/>
  </cols>
  <sheetData>
    <row r="2" spans="1:3" x14ac:dyDescent="0.2">
      <c r="A2" s="16" t="s">
        <v>116</v>
      </c>
      <c r="B2" s="15" t="s">
        <v>20</v>
      </c>
      <c r="C2" s="18"/>
    </row>
    <row r="3" spans="1:3" x14ac:dyDescent="0.2">
      <c r="A3" s="16" t="s">
        <v>43</v>
      </c>
      <c r="B3" s="15" t="s">
        <v>42</v>
      </c>
      <c r="C3" s="38"/>
    </row>
    <row r="4" spans="1:3" s="15" customFormat="1" x14ac:dyDescent="0.2">
      <c r="A4" s="16" t="s">
        <v>39</v>
      </c>
      <c r="B4" s="15" t="s">
        <v>21</v>
      </c>
    </row>
    <row r="5" spans="1:3" s="15" customFormat="1" x14ac:dyDescent="0.2">
      <c r="A5" s="16" t="s">
        <v>48</v>
      </c>
      <c r="B5" s="15" t="s">
        <v>21</v>
      </c>
    </row>
    <row r="6" spans="1:3" s="15" customFormat="1" x14ac:dyDescent="0.2">
      <c r="A6" s="16" t="s">
        <v>117</v>
      </c>
      <c r="B6" s="15" t="s">
        <v>21</v>
      </c>
    </row>
    <row r="7" spans="1:3" s="15" customFormat="1" x14ac:dyDescent="0.2">
      <c r="A7" s="16" t="s">
        <v>120</v>
      </c>
      <c r="B7" s="15" t="s">
        <v>21</v>
      </c>
    </row>
    <row r="8" spans="1:3" s="15" customFormat="1" x14ac:dyDescent="0.2">
      <c r="A8" s="16" t="s">
        <v>70</v>
      </c>
      <c r="B8" s="15" t="s">
        <v>71</v>
      </c>
    </row>
    <row r="9" spans="1:3" x14ac:dyDescent="0.2">
      <c r="A9" s="16" t="s">
        <v>72</v>
      </c>
      <c r="B9" s="15" t="s">
        <v>13</v>
      </c>
      <c r="C9" s="15"/>
    </row>
    <row r="10" spans="1:3" x14ac:dyDescent="0.2">
      <c r="A10" s="16" t="s">
        <v>95</v>
      </c>
      <c r="B10" s="15" t="s">
        <v>13</v>
      </c>
      <c r="C10" s="15"/>
    </row>
    <row r="11" spans="1:3" x14ac:dyDescent="0.2">
      <c r="A11" s="16" t="s">
        <v>92</v>
      </c>
      <c r="B11" s="15" t="s">
        <v>13</v>
      </c>
      <c r="C11" s="15"/>
    </row>
    <row r="12" spans="1:3" x14ac:dyDescent="0.2">
      <c r="A12" s="16" t="s">
        <v>118</v>
      </c>
      <c r="B12" s="15" t="s">
        <v>23</v>
      </c>
      <c r="C12" s="15"/>
    </row>
    <row r="13" spans="1:3" x14ac:dyDescent="0.2">
      <c r="A13" s="16" t="s">
        <v>22</v>
      </c>
      <c r="B13" s="15" t="s">
        <v>23</v>
      </c>
    </row>
    <row r="14" spans="1:3" x14ac:dyDescent="0.2">
      <c r="A14" s="16" t="s">
        <v>55</v>
      </c>
      <c r="B14" s="15" t="s">
        <v>23</v>
      </c>
    </row>
    <row r="15" spans="1:3" x14ac:dyDescent="0.2">
      <c r="A15" s="16" t="s">
        <v>73</v>
      </c>
      <c r="B15" s="15" t="s">
        <v>23</v>
      </c>
    </row>
    <row r="16" spans="1:3" x14ac:dyDescent="0.2">
      <c r="A16" s="16" t="s">
        <v>119</v>
      </c>
      <c r="B16" s="15" t="s">
        <v>23</v>
      </c>
    </row>
    <row r="17" spans="1:2" x14ac:dyDescent="0.2">
      <c r="A17" s="16" t="s">
        <v>78</v>
      </c>
      <c r="B17" s="15" t="s">
        <v>49</v>
      </c>
    </row>
    <row r="18" spans="1:2" x14ac:dyDescent="0.2">
      <c r="A18" s="16" t="s">
        <v>94</v>
      </c>
      <c r="B18" s="15" t="s">
        <v>49</v>
      </c>
    </row>
    <row r="19" spans="1:2" x14ac:dyDescent="0.2">
      <c r="A19" s="16" t="s">
        <v>75</v>
      </c>
      <c r="B19" s="15" t="s">
        <v>74</v>
      </c>
    </row>
    <row r="20" spans="1:2" x14ac:dyDescent="0.2">
      <c r="A20" s="16" t="s">
        <v>126</v>
      </c>
      <c r="B20" s="15" t="s">
        <v>57</v>
      </c>
    </row>
    <row r="21" spans="1:2" x14ac:dyDescent="0.2">
      <c r="A21" s="16" t="s">
        <v>121</v>
      </c>
      <c r="B21" s="15" t="s">
        <v>40</v>
      </c>
    </row>
    <row r="22" spans="1:2" x14ac:dyDescent="0.2">
      <c r="A22" s="16" t="s">
        <v>56</v>
      </c>
      <c r="B22" s="15" t="s">
        <v>40</v>
      </c>
    </row>
    <row r="23" spans="1:2" x14ac:dyDescent="0.2">
      <c r="A23" s="16" t="s">
        <v>123</v>
      </c>
      <c r="B23" s="15" t="s">
        <v>122</v>
      </c>
    </row>
    <row r="24" spans="1:2" x14ac:dyDescent="0.2">
      <c r="A24" s="16" t="s">
        <v>77</v>
      </c>
      <c r="B24" s="15" t="s">
        <v>69</v>
      </c>
    </row>
    <row r="25" spans="1:2" x14ac:dyDescent="0.2">
      <c r="A25" s="16" t="s">
        <v>91</v>
      </c>
      <c r="B25" s="15" t="s">
        <v>12</v>
      </c>
    </row>
    <row r="26" spans="1:2" x14ac:dyDescent="0.2">
      <c r="A26" s="16" t="s">
        <v>76</v>
      </c>
      <c r="B26" s="15" t="s">
        <v>12</v>
      </c>
    </row>
    <row r="27" spans="1:2" x14ac:dyDescent="0.2">
      <c r="A27" s="16" t="s">
        <v>79</v>
      </c>
      <c r="B27" s="15" t="s">
        <v>14</v>
      </c>
    </row>
    <row r="28" spans="1:2" x14ac:dyDescent="0.2">
      <c r="A28" s="16" t="s">
        <v>124</v>
      </c>
      <c r="B28" s="15" t="s">
        <v>37</v>
      </c>
    </row>
    <row r="29" spans="1:2" x14ac:dyDescent="0.2">
      <c r="A29" s="16" t="s">
        <v>96</v>
      </c>
      <c r="B29" s="15" t="s">
        <v>37</v>
      </c>
    </row>
    <row r="30" spans="1:2" x14ac:dyDescent="0.2">
      <c r="A30" s="16" t="s">
        <v>93</v>
      </c>
      <c r="B30" s="15" t="s">
        <v>80</v>
      </c>
    </row>
    <row r="31" spans="1:2" x14ac:dyDescent="0.2">
      <c r="A31" s="16" t="s">
        <v>125</v>
      </c>
      <c r="B31" s="15" t="s">
        <v>19</v>
      </c>
    </row>
    <row r="32" spans="1:2" x14ac:dyDescent="0.2">
      <c r="A32" s="16" t="s">
        <v>58</v>
      </c>
      <c r="B32" s="15" t="s">
        <v>19</v>
      </c>
    </row>
    <row r="33" spans="1:2" x14ac:dyDescent="0.2">
      <c r="A33" s="16" t="s">
        <v>134</v>
      </c>
      <c r="B33" s="15" t="s">
        <v>19</v>
      </c>
    </row>
    <row r="35" spans="1:2" x14ac:dyDescent="0.2">
      <c r="A35" s="14"/>
    </row>
    <row r="36" spans="1:2" x14ac:dyDescent="0.2">
      <c r="A36" s="14"/>
    </row>
    <row r="37" spans="1:2" x14ac:dyDescent="0.2">
      <c r="A37" s="14"/>
    </row>
  </sheetData>
  <sortState xmlns:xlrd2="http://schemas.microsoft.com/office/spreadsheetml/2017/richdata2" ref="A3:D33">
    <sortCondition ref="B3:B3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58E2-C7CC-4DE1-90FF-62464C1B9BCE}">
  <dimension ref="A1:J22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14.5" customWidth="1"/>
    <col min="2" max="5" width="12.6640625" customWidth="1"/>
    <col min="6" max="6" width="8.83203125" customWidth="1"/>
    <col min="7" max="10" width="12.6640625" customWidth="1"/>
  </cols>
  <sheetData>
    <row r="1" spans="1:10" x14ac:dyDescent="0.2">
      <c r="B1" s="1" t="s">
        <v>35</v>
      </c>
      <c r="C1" s="1" t="s">
        <v>35</v>
      </c>
      <c r="D1" s="1" t="s">
        <v>35</v>
      </c>
      <c r="E1" s="1" t="s">
        <v>35</v>
      </c>
      <c r="G1" s="1" t="s">
        <v>36</v>
      </c>
      <c r="H1" s="1" t="s">
        <v>36</v>
      </c>
      <c r="I1" s="1" t="s">
        <v>36</v>
      </c>
      <c r="J1" s="1" t="s">
        <v>36</v>
      </c>
    </row>
    <row r="2" spans="1:10" x14ac:dyDescent="0.2">
      <c r="B2" s="1" t="s">
        <v>33</v>
      </c>
      <c r="C2" s="1" t="s">
        <v>34</v>
      </c>
      <c r="D2" s="1" t="s">
        <v>33</v>
      </c>
      <c r="E2" s="1" t="s">
        <v>34</v>
      </c>
      <c r="G2" s="1" t="s">
        <v>33</v>
      </c>
      <c r="H2" s="1" t="s">
        <v>34</v>
      </c>
      <c r="I2" s="1" t="s">
        <v>33</v>
      </c>
      <c r="J2" s="1" t="s">
        <v>34</v>
      </c>
    </row>
    <row r="3" spans="1:10" x14ac:dyDescent="0.2">
      <c r="A3" t="s">
        <v>16</v>
      </c>
      <c r="B3" s="26"/>
      <c r="C3" s="26"/>
      <c r="D3" s="26"/>
      <c r="E3" s="26"/>
      <c r="G3" s="26"/>
      <c r="H3" s="26"/>
      <c r="I3" s="26"/>
      <c r="J3" s="26"/>
    </row>
    <row r="4" spans="1:10" x14ac:dyDescent="0.2">
      <c r="A4" t="s">
        <v>9</v>
      </c>
      <c r="B4" s="26"/>
      <c r="C4" s="26"/>
      <c r="D4" s="26"/>
      <c r="E4" s="26"/>
      <c r="G4" s="26"/>
      <c r="H4" s="26"/>
      <c r="I4" s="26"/>
      <c r="J4" s="26"/>
    </row>
    <row r="5" spans="1:10" x14ac:dyDescent="0.2">
      <c r="A5" t="s">
        <v>15</v>
      </c>
      <c r="B5" s="26"/>
      <c r="C5" s="26"/>
      <c r="D5" s="26"/>
      <c r="E5" s="26"/>
      <c r="G5" s="26"/>
      <c r="H5" s="26"/>
      <c r="I5" s="26"/>
      <c r="J5" s="26"/>
    </row>
    <row r="6" spans="1:10" x14ac:dyDescent="0.2">
      <c r="A6" t="s">
        <v>11</v>
      </c>
      <c r="B6" s="26"/>
      <c r="C6" s="26"/>
      <c r="D6" s="26"/>
      <c r="E6" s="26"/>
      <c r="G6" s="26"/>
      <c r="H6" s="26"/>
      <c r="I6" s="26"/>
      <c r="J6" s="26"/>
    </row>
    <row r="7" spans="1:10" x14ac:dyDescent="0.2">
      <c r="A7" t="s">
        <v>10</v>
      </c>
      <c r="B7" s="26"/>
      <c r="C7" s="26"/>
      <c r="D7" s="26"/>
      <c r="E7" s="26"/>
      <c r="G7" s="26"/>
      <c r="H7" s="26"/>
      <c r="I7" s="26"/>
      <c r="J7" s="26"/>
    </row>
    <row r="8" spans="1:10" x14ac:dyDescent="0.2">
      <c r="A8" t="s">
        <v>17</v>
      </c>
      <c r="B8" s="26"/>
      <c r="C8" s="26"/>
      <c r="D8" s="26"/>
      <c r="E8" s="26"/>
      <c r="G8" s="26"/>
      <c r="H8" s="26"/>
      <c r="I8" s="26"/>
      <c r="J8" s="26"/>
    </row>
    <row r="9" spans="1:10" x14ac:dyDescent="0.2">
      <c r="A9" t="s">
        <v>8</v>
      </c>
      <c r="B9" s="26"/>
      <c r="C9" s="26"/>
      <c r="D9" s="26"/>
      <c r="E9" s="26"/>
      <c r="G9" s="26"/>
      <c r="H9" s="26"/>
      <c r="I9" s="26"/>
      <c r="J9" s="26"/>
    </row>
    <row r="10" spans="1:10" x14ac:dyDescent="0.2">
      <c r="A10" t="s">
        <v>18</v>
      </c>
      <c r="B10" s="26"/>
      <c r="C10" s="26"/>
      <c r="D10" s="26"/>
      <c r="E10" s="26"/>
      <c r="G10" s="26"/>
      <c r="H10" s="26"/>
      <c r="I10" s="26"/>
      <c r="J10" s="26"/>
    </row>
    <row r="11" spans="1:10" x14ac:dyDescent="0.2">
      <c r="B11" s="26"/>
      <c r="C11" s="26"/>
      <c r="D11" s="26"/>
      <c r="E11" s="26"/>
      <c r="G11" s="26"/>
      <c r="H11" s="26"/>
      <c r="I11" s="26"/>
      <c r="J11" s="26"/>
    </row>
    <row r="12" spans="1:10" x14ac:dyDescent="0.2">
      <c r="B12" s="26"/>
      <c r="C12" s="26"/>
      <c r="D12" s="26"/>
      <c r="E12" s="26"/>
      <c r="G12" s="26"/>
      <c r="H12" s="26"/>
      <c r="I12" s="26"/>
      <c r="J12" s="26"/>
    </row>
    <row r="13" spans="1:10" x14ac:dyDescent="0.2">
      <c r="B13" s="26"/>
      <c r="C13" s="26"/>
      <c r="D13" s="26"/>
      <c r="E13" s="26"/>
      <c r="G13" s="26"/>
      <c r="H13" s="26"/>
      <c r="I13" s="26"/>
      <c r="J13" s="26"/>
    </row>
    <row r="14" spans="1:10" x14ac:dyDescent="0.2">
      <c r="B14" s="26"/>
      <c r="C14" s="26"/>
      <c r="D14" s="26"/>
      <c r="E14" s="26"/>
      <c r="G14" s="26"/>
      <c r="H14" s="26"/>
      <c r="I14" s="26"/>
      <c r="J14" s="26"/>
    </row>
    <row r="15" spans="1:10" x14ac:dyDescent="0.2">
      <c r="B15" s="26"/>
      <c r="C15" s="26"/>
      <c r="D15" s="26"/>
      <c r="E15" s="26"/>
      <c r="G15" s="26"/>
      <c r="H15" s="26"/>
      <c r="I15" s="26"/>
      <c r="J15" s="26"/>
    </row>
    <row r="16" spans="1:10" x14ac:dyDescent="0.2">
      <c r="B16" s="26"/>
      <c r="C16" s="26"/>
      <c r="D16" s="26"/>
      <c r="E16" s="26"/>
      <c r="G16" s="26"/>
      <c r="H16" s="26"/>
      <c r="I16" s="26"/>
      <c r="J16" s="26"/>
    </row>
    <row r="17" spans="2:10" x14ac:dyDescent="0.2">
      <c r="B17" s="26"/>
      <c r="C17" s="26"/>
      <c r="D17" s="26"/>
      <c r="E17" s="26"/>
      <c r="G17" s="26"/>
      <c r="H17" s="26"/>
      <c r="I17" s="26"/>
      <c r="J17" s="26"/>
    </row>
    <row r="18" spans="2:10" x14ac:dyDescent="0.2">
      <c r="B18" s="26"/>
      <c r="C18" s="26"/>
      <c r="D18" s="26"/>
      <c r="E18" s="26"/>
      <c r="G18" s="26"/>
      <c r="H18" s="26"/>
      <c r="I18" s="26"/>
      <c r="J18" s="26"/>
    </row>
    <row r="19" spans="2:10" x14ac:dyDescent="0.2">
      <c r="B19" s="26"/>
      <c r="C19" s="26"/>
      <c r="D19" s="26"/>
      <c r="E19" s="26"/>
      <c r="G19" s="26"/>
      <c r="H19" s="26"/>
      <c r="I19" s="26"/>
      <c r="J19" s="26"/>
    </row>
    <row r="20" spans="2:10" x14ac:dyDescent="0.2">
      <c r="B20" s="26"/>
      <c r="C20" s="26"/>
      <c r="D20" s="26"/>
      <c r="E20" s="26"/>
      <c r="G20" s="26"/>
      <c r="H20" s="26"/>
      <c r="I20" s="26"/>
      <c r="J20" s="26"/>
    </row>
    <row r="21" spans="2:10" x14ac:dyDescent="0.2">
      <c r="B21" s="26"/>
      <c r="C21" s="26"/>
      <c r="D21" s="26"/>
      <c r="E21" s="26"/>
      <c r="G21" s="26"/>
      <c r="H21" s="26"/>
      <c r="I21" s="26"/>
      <c r="J21" s="26"/>
    </row>
    <row r="22" spans="2:10" x14ac:dyDescent="0.2">
      <c r="B22" s="26"/>
      <c r="C22" s="26"/>
      <c r="D22" s="26"/>
      <c r="E22" s="26"/>
      <c r="G22" s="26"/>
      <c r="H22" s="26"/>
      <c r="I22" s="26"/>
      <c r="J22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5"/>
  <sheetViews>
    <sheetView zoomScale="115" zoomScaleNormal="115" workbookViewId="0">
      <selection activeCell="F13" sqref="F13"/>
    </sheetView>
  </sheetViews>
  <sheetFormatPr baseColWidth="10" defaultColWidth="8.83203125" defaultRowHeight="15" x14ac:dyDescent="0.2"/>
  <cols>
    <col min="1" max="1" width="13" style="7" customWidth="1"/>
    <col min="2" max="2" width="16.33203125" style="5" bestFit="1" customWidth="1"/>
    <col min="3" max="3" width="6.6640625" style="6" customWidth="1"/>
    <col min="4" max="4" width="16.5" style="5" bestFit="1" customWidth="1"/>
    <col min="5" max="5" width="6.5" style="6" customWidth="1"/>
    <col min="6" max="6" width="16.1640625" style="5" bestFit="1" customWidth="1"/>
    <col min="7" max="7" width="7.6640625" style="6" customWidth="1"/>
    <col min="8" max="8" width="16.5" style="5" bestFit="1" customWidth="1"/>
    <col min="9" max="9" width="6.6640625" style="6" customWidth="1"/>
    <col min="10" max="10" width="17.83203125" style="16" bestFit="1" customWidth="1"/>
    <col min="11" max="11" width="7.33203125" style="34" customWidth="1"/>
    <col min="12" max="12" width="16.5" style="16" bestFit="1" customWidth="1"/>
    <col min="13" max="13" width="6.6640625" style="34" customWidth="1"/>
    <col min="14" max="14" width="16.33203125" style="16" bestFit="1" customWidth="1"/>
    <col min="15" max="15" width="7.1640625" style="34" customWidth="1"/>
    <col min="16" max="16384" width="8.83203125" style="7"/>
  </cols>
  <sheetData>
    <row r="1" spans="1:15" ht="16" x14ac:dyDescent="0.2">
      <c r="A1" s="17" t="s">
        <v>97</v>
      </c>
    </row>
    <row r="2" spans="1:15" ht="7.25" customHeight="1" thickBot="1" x14ac:dyDescent="0.25"/>
    <row r="3" spans="1:15" x14ac:dyDescent="0.2">
      <c r="B3" s="29" t="s">
        <v>61</v>
      </c>
      <c r="C3" s="30" t="s">
        <v>61</v>
      </c>
      <c r="D3" s="29" t="s">
        <v>15</v>
      </c>
      <c r="E3" s="30" t="s">
        <v>15</v>
      </c>
      <c r="F3" s="29" t="s">
        <v>8</v>
      </c>
      <c r="G3" s="30" t="s">
        <v>8</v>
      </c>
      <c r="H3" s="29" t="s">
        <v>9</v>
      </c>
      <c r="I3" s="30" t="s">
        <v>9</v>
      </c>
      <c r="J3" s="29" t="s">
        <v>10</v>
      </c>
      <c r="K3" s="30" t="s">
        <v>10</v>
      </c>
      <c r="L3" s="29" t="s">
        <v>18</v>
      </c>
      <c r="M3" s="30" t="s">
        <v>18</v>
      </c>
      <c r="N3" s="29" t="s">
        <v>17</v>
      </c>
      <c r="O3" s="30" t="s">
        <v>17</v>
      </c>
    </row>
    <row r="4" spans="1:15" x14ac:dyDescent="0.2">
      <c r="B4" s="31" t="s">
        <v>6</v>
      </c>
      <c r="C4" s="32" t="s">
        <v>7</v>
      </c>
      <c r="D4" s="31" t="s">
        <v>6</v>
      </c>
      <c r="E4" s="32" t="s">
        <v>7</v>
      </c>
      <c r="F4" s="31" t="s">
        <v>6</v>
      </c>
      <c r="G4" s="32" t="s">
        <v>7</v>
      </c>
      <c r="H4" s="31" t="s">
        <v>6</v>
      </c>
      <c r="I4" s="32" t="s">
        <v>7</v>
      </c>
      <c r="J4" s="31" t="s">
        <v>6</v>
      </c>
      <c r="K4" s="32" t="s">
        <v>7</v>
      </c>
      <c r="L4" s="31" t="s">
        <v>6</v>
      </c>
      <c r="M4" s="32" t="s">
        <v>7</v>
      </c>
      <c r="N4" s="31" t="s">
        <v>6</v>
      </c>
      <c r="O4" s="32" t="s">
        <v>7</v>
      </c>
    </row>
    <row r="5" spans="1:15" ht="8" customHeight="1" x14ac:dyDescent="0.2">
      <c r="B5" s="8"/>
      <c r="C5" s="9"/>
      <c r="D5" s="8"/>
      <c r="E5" s="9"/>
      <c r="F5" s="8"/>
      <c r="G5" s="9"/>
      <c r="H5" s="8"/>
      <c r="I5" s="9"/>
      <c r="J5" s="31"/>
      <c r="K5" s="32"/>
      <c r="L5" s="31"/>
      <c r="M5" s="32"/>
      <c r="N5" s="31"/>
      <c r="O5" s="32"/>
    </row>
    <row r="6" spans="1:15" x14ac:dyDescent="0.2">
      <c r="A6" s="7" t="s">
        <v>0</v>
      </c>
      <c r="B6" s="13" t="s">
        <v>98</v>
      </c>
      <c r="C6" s="35" t="e">
        <f>Spelarna!#REF!</f>
        <v>#REF!</v>
      </c>
      <c r="D6" s="13" t="s">
        <v>113</v>
      </c>
      <c r="E6" s="35" t="e">
        <f>Spelarna!#REF!</f>
        <v>#REF!</v>
      </c>
      <c r="F6" s="13" t="s">
        <v>105</v>
      </c>
      <c r="G6" s="35" t="e">
        <f>Spelarna!#REF!</f>
        <v>#REF!</v>
      </c>
      <c r="H6" s="13" t="s">
        <v>109</v>
      </c>
      <c r="I6" s="35" t="e">
        <f>Spelarna!#REF!</f>
        <v>#REF!</v>
      </c>
      <c r="J6" s="13" t="s">
        <v>50</v>
      </c>
      <c r="K6" s="35" t="e">
        <f>Spelarna!#REF!</f>
        <v>#REF!</v>
      </c>
      <c r="L6" s="13" t="s">
        <v>85</v>
      </c>
      <c r="M6" s="35" t="e">
        <f>Spelarna!#REF!</f>
        <v>#REF!</v>
      </c>
      <c r="N6" s="13" t="s">
        <v>85</v>
      </c>
      <c r="O6" s="35" t="e">
        <f>Spelarna!#REF!</f>
        <v>#REF!</v>
      </c>
    </row>
    <row r="7" spans="1:15" x14ac:dyDescent="0.2">
      <c r="A7" s="7" t="s">
        <v>0</v>
      </c>
      <c r="B7" s="13" t="s">
        <v>50</v>
      </c>
      <c r="C7" s="35" t="e">
        <f>Spelarna!#REF!</f>
        <v>#REF!</v>
      </c>
      <c r="D7" s="13" t="s">
        <v>85</v>
      </c>
      <c r="E7" s="35" t="e">
        <f>Spelarna!#REF!</f>
        <v>#REF!</v>
      </c>
      <c r="F7" s="13" t="s">
        <v>90</v>
      </c>
      <c r="G7" s="35" t="e">
        <f>Spelarna!#REF!</f>
        <v>#REF!</v>
      </c>
      <c r="H7" s="13" t="s">
        <v>86</v>
      </c>
      <c r="I7" s="35" t="e">
        <f>Spelarna!#REF!</f>
        <v>#REF!</v>
      </c>
      <c r="J7" s="13" t="s">
        <v>110</v>
      </c>
      <c r="K7" s="35" t="e">
        <f>Spelarna!#REF!</f>
        <v>#REF!</v>
      </c>
      <c r="L7" s="13" t="s">
        <v>107</v>
      </c>
      <c r="M7" s="35" t="e">
        <f>Spelarna!#REF!</f>
        <v>#REF!</v>
      </c>
      <c r="N7" s="13" t="s">
        <v>107</v>
      </c>
      <c r="O7" s="35" t="e">
        <f>Spelarna!#REF!</f>
        <v>#REF!</v>
      </c>
    </row>
    <row r="8" spans="1:15" ht="8" customHeight="1" x14ac:dyDescent="0.2">
      <c r="B8" s="31"/>
      <c r="C8" s="32"/>
      <c r="D8" s="31"/>
      <c r="E8" s="32"/>
      <c r="F8" s="31"/>
      <c r="G8" s="32"/>
      <c r="H8" s="31"/>
      <c r="I8" s="32"/>
      <c r="J8" s="31"/>
      <c r="K8" s="32"/>
      <c r="L8" s="31"/>
      <c r="M8" s="32"/>
      <c r="N8" s="31"/>
      <c r="O8" s="32"/>
    </row>
    <row r="9" spans="1:15" x14ac:dyDescent="0.2">
      <c r="A9" s="7" t="s">
        <v>4</v>
      </c>
      <c r="B9" s="13"/>
      <c r="C9" s="35"/>
      <c r="D9" s="13"/>
      <c r="E9" s="35"/>
      <c r="F9" s="13"/>
      <c r="G9" s="35"/>
      <c r="H9" s="13"/>
      <c r="I9" s="35"/>
      <c r="J9" s="13"/>
      <c r="K9" s="35"/>
      <c r="L9" s="13"/>
      <c r="M9" s="35"/>
      <c r="N9" s="13"/>
      <c r="O9" s="35"/>
    </row>
    <row r="10" spans="1:15" x14ac:dyDescent="0.2">
      <c r="A10" s="7" t="s">
        <v>1</v>
      </c>
      <c r="B10" s="43" t="s">
        <v>99</v>
      </c>
      <c r="C10" s="35" t="e">
        <f>Spelarna!#REF!</f>
        <v>#REF!</v>
      </c>
      <c r="D10" s="13" t="s">
        <v>89</v>
      </c>
      <c r="E10" s="35" t="e">
        <f>Spelarna!#REF!</f>
        <v>#REF!</v>
      </c>
      <c r="F10" s="39" t="s">
        <v>99</v>
      </c>
      <c r="G10" s="35" t="e">
        <f>Spelarna!#REF!</f>
        <v>#REF!</v>
      </c>
      <c r="H10" s="13" t="s">
        <v>89</v>
      </c>
      <c r="I10" s="35" t="e">
        <f>Spelarna!#REF!</f>
        <v>#REF!</v>
      </c>
      <c r="J10" s="13" t="s">
        <v>89</v>
      </c>
      <c r="K10" s="35" t="e">
        <f>Spelarna!#REF!</f>
        <v>#REF!</v>
      </c>
      <c r="L10" s="13" t="s">
        <v>89</v>
      </c>
      <c r="M10" s="35" t="e">
        <f>Spelarna!#REF!</f>
        <v>#REF!</v>
      </c>
      <c r="N10" s="39" t="s">
        <v>99</v>
      </c>
      <c r="O10" s="35" t="e">
        <f>Spelarna!#REF!</f>
        <v>#REF!</v>
      </c>
    </row>
    <row r="11" spans="1:15" x14ac:dyDescent="0.2">
      <c r="A11" s="7" t="s">
        <v>1</v>
      </c>
      <c r="B11" s="13" t="s">
        <v>54</v>
      </c>
      <c r="C11" s="35" t="e">
        <f>Spelarna!#REF!</f>
        <v>#REF!</v>
      </c>
      <c r="D11" s="43" t="s">
        <v>68</v>
      </c>
      <c r="E11" s="35" t="e">
        <f>Spelarna!#REF!</f>
        <v>#REF!</v>
      </c>
      <c r="F11" s="13" t="s">
        <v>66</v>
      </c>
      <c r="G11" s="35" t="e">
        <f>Spelarna!#REF!</f>
        <v>#REF!</v>
      </c>
      <c r="H11" s="13" t="s">
        <v>84</v>
      </c>
      <c r="I11" s="35" t="e">
        <f>Spelarna!#REF!</f>
        <v>#REF!</v>
      </c>
      <c r="J11" s="13" t="s">
        <v>52</v>
      </c>
      <c r="K11" s="35" t="e">
        <f>Spelarna!#REF!</f>
        <v>#REF!</v>
      </c>
      <c r="L11" s="13" t="s">
        <v>66</v>
      </c>
      <c r="M11" s="35" t="e">
        <f>Spelarna!#REF!</f>
        <v>#REF!</v>
      </c>
      <c r="N11" s="13" t="s">
        <v>66</v>
      </c>
      <c r="O11" s="35" t="e">
        <f>Spelarna!#REF!</f>
        <v>#REF!</v>
      </c>
    </row>
    <row r="12" spans="1:15" x14ac:dyDescent="0.2">
      <c r="A12" s="7" t="s">
        <v>2</v>
      </c>
      <c r="B12" s="13" t="s">
        <v>65</v>
      </c>
      <c r="C12" s="35" t="e">
        <f>Spelarna!#REF!</f>
        <v>#REF!</v>
      </c>
      <c r="D12" s="13" t="s">
        <v>83</v>
      </c>
      <c r="E12" s="35" t="e">
        <f>Spelarna!#REF!</f>
        <v>#REF!</v>
      </c>
      <c r="F12" s="13" t="s">
        <v>65</v>
      </c>
      <c r="G12" s="35" t="e">
        <f>Spelarna!#REF!</f>
        <v>#REF!</v>
      </c>
      <c r="H12" s="13" t="s">
        <v>81</v>
      </c>
      <c r="I12" s="35" t="e">
        <f>Spelarna!#REF!</f>
        <v>#REF!</v>
      </c>
      <c r="J12" s="13" t="s">
        <v>112</v>
      </c>
      <c r="K12" s="35" t="e">
        <f>Spelarna!#REF!</f>
        <v>#REF!</v>
      </c>
      <c r="L12" s="13" t="s">
        <v>67</v>
      </c>
      <c r="M12" s="35" t="e">
        <f>Spelarna!#REF!</f>
        <v>#REF!</v>
      </c>
      <c r="N12" s="13" t="s">
        <v>62</v>
      </c>
      <c r="O12" s="35" t="e">
        <f>Spelarna!#REF!</f>
        <v>#REF!</v>
      </c>
    </row>
    <row r="13" spans="1:15" x14ac:dyDescent="0.2">
      <c r="A13" s="7" t="s">
        <v>2</v>
      </c>
      <c r="B13" s="13" t="s">
        <v>100</v>
      </c>
      <c r="C13" s="35" t="e">
        <f>Spelarna!#REF!</f>
        <v>#REF!</v>
      </c>
      <c r="D13" s="13" t="s">
        <v>135</v>
      </c>
      <c r="E13" s="35" t="e">
        <f>Spelarna!#REF!</f>
        <v>#REF!</v>
      </c>
      <c r="F13" s="13" t="s">
        <v>100</v>
      </c>
      <c r="G13" s="35" t="e">
        <f>Spelarna!#REF!</f>
        <v>#REF!</v>
      </c>
      <c r="H13" s="13" t="s">
        <v>108</v>
      </c>
      <c r="I13" s="35" t="e">
        <f>Spelarna!#REF!</f>
        <v>#REF!</v>
      </c>
      <c r="J13" s="13" t="s">
        <v>108</v>
      </c>
      <c r="K13" s="35" t="e">
        <f>Spelarna!#REF!</f>
        <v>#REF!</v>
      </c>
      <c r="L13" s="13" t="s">
        <v>64</v>
      </c>
      <c r="M13" s="35" t="e">
        <f>Spelarna!#REF!</f>
        <v>#REF!</v>
      </c>
      <c r="N13" s="13" t="s">
        <v>64</v>
      </c>
      <c r="O13" s="35" t="e">
        <f>Spelarna!#REF!</f>
        <v>#REF!</v>
      </c>
    </row>
    <row r="14" spans="1:15" x14ac:dyDescent="0.2">
      <c r="A14" s="7" t="s">
        <v>2</v>
      </c>
      <c r="B14" s="13" t="s">
        <v>101</v>
      </c>
      <c r="C14" s="41" t="e">
        <f>Spelarna!#REF!</f>
        <v>#REF!</v>
      </c>
      <c r="D14" s="39" t="s">
        <v>111</v>
      </c>
      <c r="E14" s="41" t="e">
        <f>Spelarna!#REF!</f>
        <v>#REF!</v>
      </c>
      <c r="F14" s="13" t="s">
        <v>101</v>
      </c>
      <c r="G14" s="41" t="e">
        <f>Spelarna!#REF!</f>
        <v>#REF!</v>
      </c>
      <c r="H14" s="13" t="s">
        <v>101</v>
      </c>
      <c r="I14" s="41" t="e">
        <f>Spelarna!#REF!</f>
        <v>#REF!</v>
      </c>
      <c r="J14" s="13" t="s">
        <v>81</v>
      </c>
      <c r="K14" s="41" t="e">
        <f>Spelarna!#REF!</f>
        <v>#REF!</v>
      </c>
      <c r="L14" s="13" t="s">
        <v>101</v>
      </c>
      <c r="M14" s="41" t="e">
        <f>Spelarna!#REF!</f>
        <v>#REF!</v>
      </c>
      <c r="N14" s="13" t="s">
        <v>101</v>
      </c>
      <c r="O14" s="41" t="e">
        <f>Spelarna!#REF!</f>
        <v>#REF!</v>
      </c>
    </row>
    <row r="15" spans="1:15" ht="8" customHeight="1" x14ac:dyDescent="0.2">
      <c r="B15" s="40"/>
      <c r="C15" s="32"/>
      <c r="D15" s="31"/>
      <c r="E15" s="32"/>
      <c r="F15" s="31"/>
      <c r="G15" s="32"/>
      <c r="H15" s="31"/>
      <c r="I15" s="32"/>
      <c r="J15" s="31"/>
      <c r="K15" s="32"/>
      <c r="L15" s="31"/>
      <c r="M15" s="32"/>
      <c r="N15" s="31"/>
      <c r="O15" s="32"/>
    </row>
    <row r="16" spans="1:15" x14ac:dyDescent="0.2">
      <c r="A16" s="7" t="s">
        <v>3</v>
      </c>
      <c r="B16" s="39"/>
      <c r="C16" s="35"/>
      <c r="D16" s="13"/>
      <c r="E16" s="35"/>
      <c r="F16" s="13"/>
      <c r="G16" s="35"/>
      <c r="H16" s="13"/>
      <c r="I16" s="35"/>
      <c r="J16" s="13"/>
      <c r="K16" s="35"/>
      <c r="L16" s="13"/>
      <c r="M16" s="35"/>
      <c r="N16" s="13"/>
      <c r="O16" s="35"/>
    </row>
    <row r="17" spans="1:15" x14ac:dyDescent="0.2">
      <c r="A17" s="7" t="s">
        <v>1</v>
      </c>
      <c r="B17" s="13" t="s">
        <v>51</v>
      </c>
      <c r="C17" s="35" t="e">
        <f>Spelarna!#REF!</f>
        <v>#REF!</v>
      </c>
      <c r="D17" s="13" t="s">
        <v>53</v>
      </c>
      <c r="E17" s="35" t="e">
        <f>Spelarna!#REF!</f>
        <v>#REF!</v>
      </c>
      <c r="F17" s="13" t="s">
        <v>89</v>
      </c>
      <c r="G17" s="35" t="e">
        <f>Spelarna!#REF!</f>
        <v>#REF!</v>
      </c>
      <c r="H17" s="13" t="s">
        <v>41</v>
      </c>
      <c r="I17" s="35" t="e">
        <f>Spelarna!#REF!</f>
        <v>#REF!</v>
      </c>
      <c r="J17" s="13" t="s">
        <v>41</v>
      </c>
      <c r="K17" s="35" t="e">
        <f>Spelarna!#REF!</f>
        <v>#REF!</v>
      </c>
      <c r="L17" s="13" t="s">
        <v>88</v>
      </c>
      <c r="M17" s="35" t="e">
        <f>Spelarna!#REF!</f>
        <v>#REF!</v>
      </c>
      <c r="N17" s="13" t="s">
        <v>88</v>
      </c>
      <c r="O17" s="35" t="e">
        <f>Spelarna!#REF!</f>
        <v>#REF!</v>
      </c>
    </row>
    <row r="18" spans="1:15" x14ac:dyDescent="0.2">
      <c r="A18" s="7" t="s">
        <v>1</v>
      </c>
      <c r="B18" s="13" t="s">
        <v>41</v>
      </c>
      <c r="C18" s="35" t="e">
        <f>Spelarna!#REF!</f>
        <v>#REF!</v>
      </c>
      <c r="D18" s="39" t="s">
        <v>99</v>
      </c>
      <c r="E18" s="35" t="e">
        <f>Spelarna!#REF!</f>
        <v>#REF!</v>
      </c>
      <c r="F18" s="13" t="s">
        <v>41</v>
      </c>
      <c r="G18" s="35" t="e">
        <f>Spelarna!#REF!</f>
        <v>#REF!</v>
      </c>
      <c r="H18" s="39" t="s">
        <v>68</v>
      </c>
      <c r="I18" s="35" t="e">
        <f>Spelarna!#REF!</f>
        <v>#REF!</v>
      </c>
      <c r="J18" s="39" t="s">
        <v>99</v>
      </c>
      <c r="K18" s="35" t="e">
        <f>Spelarna!#REF!</f>
        <v>#REF!</v>
      </c>
      <c r="L18" s="39" t="s">
        <v>68</v>
      </c>
      <c r="M18" s="35" t="e">
        <f>Spelarna!#REF!</f>
        <v>#REF!</v>
      </c>
      <c r="N18" s="39" t="s">
        <v>68</v>
      </c>
      <c r="O18" s="35" t="e">
        <f>Spelarna!#REF!</f>
        <v>#REF!</v>
      </c>
    </row>
    <row r="19" spans="1:15" x14ac:dyDescent="0.2">
      <c r="A19" s="7" t="s">
        <v>2</v>
      </c>
      <c r="B19" s="13" t="s">
        <v>102</v>
      </c>
      <c r="C19" s="35" t="e">
        <f>Spelarna!#REF!</f>
        <v>#REF!</v>
      </c>
      <c r="D19" s="13" t="s">
        <v>101</v>
      </c>
      <c r="E19" s="35" t="e">
        <f>Spelarna!#REF!</f>
        <v>#REF!</v>
      </c>
      <c r="F19" s="13" t="s">
        <v>104</v>
      </c>
      <c r="G19" s="35" t="e">
        <f>Spelarna!#REF!</f>
        <v>#REF!</v>
      </c>
      <c r="H19" s="13" t="s">
        <v>63</v>
      </c>
      <c r="I19" s="35" t="e">
        <f>Spelarna!#REF!</f>
        <v>#REF!</v>
      </c>
      <c r="J19" s="13" t="s">
        <v>24</v>
      </c>
      <c r="K19" s="35" t="e">
        <f>Spelarna!#REF!</f>
        <v>#REF!</v>
      </c>
      <c r="L19" s="13" t="s">
        <v>108</v>
      </c>
      <c r="M19" s="35" t="e">
        <f>Spelarna!#REF!</f>
        <v>#REF!</v>
      </c>
      <c r="N19" s="13" t="s">
        <v>106</v>
      </c>
      <c r="O19" s="35" t="e">
        <f>Spelarna!#REF!</f>
        <v>#REF!</v>
      </c>
    </row>
    <row r="20" spans="1:15" x14ac:dyDescent="0.2">
      <c r="A20" s="7" t="s">
        <v>2</v>
      </c>
      <c r="B20" s="13" t="s">
        <v>103</v>
      </c>
      <c r="C20" s="35" t="e">
        <f>Spelarna!#REF!</f>
        <v>#REF!</v>
      </c>
      <c r="D20" s="13" t="s">
        <v>114</v>
      </c>
      <c r="E20" s="35" t="e">
        <f>Spelarna!#REF!</f>
        <v>#REF!</v>
      </c>
      <c r="F20" s="13" t="s">
        <v>103</v>
      </c>
      <c r="G20" s="35" t="e">
        <f>Spelarna!#REF!</f>
        <v>#REF!</v>
      </c>
      <c r="H20" s="13" t="s">
        <v>82</v>
      </c>
      <c r="I20" s="35" t="e">
        <f>Spelarna!#REF!</f>
        <v>#REF!</v>
      </c>
      <c r="J20" s="43" t="s">
        <v>111</v>
      </c>
      <c r="K20" s="35" t="e">
        <f>Spelarna!#REF!</f>
        <v>#REF!</v>
      </c>
      <c r="L20" s="13" t="s">
        <v>103</v>
      </c>
      <c r="M20" s="35" t="e">
        <f>Spelarna!#REF!</f>
        <v>#REF!</v>
      </c>
      <c r="N20" s="13" t="s">
        <v>103</v>
      </c>
      <c r="O20" s="35" t="e">
        <f>Spelarna!#REF!</f>
        <v>#REF!</v>
      </c>
    </row>
    <row r="21" spans="1:15" x14ac:dyDescent="0.2">
      <c r="A21" s="7" t="s">
        <v>2</v>
      </c>
      <c r="B21" s="39" t="s">
        <v>87</v>
      </c>
      <c r="C21" s="41" t="e">
        <f>Spelarna!#REF!</f>
        <v>#REF!</v>
      </c>
      <c r="D21" s="39" t="s">
        <v>87</v>
      </c>
      <c r="E21" s="41" t="e">
        <f>Spelarna!#REF!</f>
        <v>#REF!</v>
      </c>
      <c r="F21" s="39" t="s">
        <v>87</v>
      </c>
      <c r="G21" s="41" t="e">
        <f>Spelarna!#REF!</f>
        <v>#REF!</v>
      </c>
      <c r="H21" s="42" t="s">
        <v>87</v>
      </c>
      <c r="I21" s="41" t="e">
        <f>Spelarna!#REF!</f>
        <v>#REF!</v>
      </c>
      <c r="J21" s="39" t="s">
        <v>87</v>
      </c>
      <c r="K21" s="41" t="e">
        <f>Spelarna!#REF!</f>
        <v>#REF!</v>
      </c>
      <c r="L21" s="39" t="s">
        <v>87</v>
      </c>
      <c r="M21" s="41" t="e">
        <f>Spelarna!#REF!</f>
        <v>#REF!</v>
      </c>
      <c r="N21" s="39" t="s">
        <v>87</v>
      </c>
      <c r="O21" s="41" t="e">
        <f>Spelarna!#REF!</f>
        <v>#REF!</v>
      </c>
    </row>
    <row r="22" spans="1:15" ht="11.5" customHeight="1" x14ac:dyDescent="0.2">
      <c r="B22" s="13"/>
      <c r="C22" s="35"/>
      <c r="D22" s="13"/>
      <c r="E22" s="35"/>
      <c r="F22" s="13"/>
      <c r="G22" s="35"/>
      <c r="H22" s="13"/>
      <c r="I22" s="35"/>
      <c r="J22" s="13"/>
      <c r="K22" s="35"/>
      <c r="L22" s="13"/>
      <c r="M22" s="35"/>
      <c r="N22" s="13"/>
      <c r="O22" s="35"/>
    </row>
    <row r="23" spans="1:15" s="10" customFormat="1" ht="16" thickBot="1" x14ac:dyDescent="0.25">
      <c r="A23" s="10" t="s">
        <v>5</v>
      </c>
      <c r="B23" s="11"/>
      <c r="C23" s="12" t="e">
        <f>SUM(C6:C21)</f>
        <v>#REF!</v>
      </c>
      <c r="D23" s="11"/>
      <c r="E23" s="12" t="e">
        <f>SUM(E6:E21)</f>
        <v>#REF!</v>
      </c>
      <c r="F23" s="11"/>
      <c r="G23" s="12" t="e">
        <f>SUM(G6:G21)</f>
        <v>#REF!</v>
      </c>
      <c r="H23" s="11"/>
      <c r="I23" s="12" t="e">
        <f>SUM(I6:I21)</f>
        <v>#REF!</v>
      </c>
      <c r="J23" s="36"/>
      <c r="K23" s="37" t="e">
        <f>SUM(K6:K21)</f>
        <v>#REF!</v>
      </c>
      <c r="L23" s="36"/>
      <c r="M23" s="37" t="e">
        <f>SUM(M6:M21)</f>
        <v>#REF!</v>
      </c>
      <c r="N23" s="36"/>
      <c r="O23" s="37" t="e">
        <f>SUM(O6:O21)</f>
        <v>#REF!</v>
      </c>
    </row>
    <row r="25" spans="1:15" x14ac:dyDescent="0.2">
      <c r="A25" s="20" t="s">
        <v>28</v>
      </c>
      <c r="E25" s="3" t="s">
        <v>127</v>
      </c>
      <c r="F25" s="6"/>
      <c r="H25" s="6"/>
      <c r="K25" s="16" t="s">
        <v>132</v>
      </c>
      <c r="L25" s="34"/>
      <c r="N25" s="34"/>
    </row>
    <row r="26" spans="1:15" x14ac:dyDescent="0.2">
      <c r="A26" t="s">
        <v>25</v>
      </c>
      <c r="E26" s="3" t="s">
        <v>128</v>
      </c>
      <c r="I26" s="19"/>
      <c r="K26" s="16" t="s">
        <v>45</v>
      </c>
    </row>
    <row r="27" spans="1:15" x14ac:dyDescent="0.2">
      <c r="E27" s="3" t="s">
        <v>129</v>
      </c>
      <c r="K27" s="16" t="s">
        <v>44</v>
      </c>
    </row>
    <row r="28" spans="1:15" x14ac:dyDescent="0.2">
      <c r="A28" s="20" t="s">
        <v>29</v>
      </c>
      <c r="E28" s="3" t="s">
        <v>130</v>
      </c>
      <c r="K28" s="15"/>
    </row>
    <row r="29" spans="1:15" x14ac:dyDescent="0.2">
      <c r="A29" t="s">
        <v>26</v>
      </c>
      <c r="E29" s="3" t="s">
        <v>131</v>
      </c>
      <c r="K29" s="16" t="s">
        <v>27</v>
      </c>
    </row>
    <row r="30" spans="1:15" x14ac:dyDescent="0.2">
      <c r="A30"/>
      <c r="K30" s="16" t="s">
        <v>47</v>
      </c>
    </row>
    <row r="31" spans="1:15" x14ac:dyDescent="0.2">
      <c r="A31" t="s">
        <v>31</v>
      </c>
    </row>
    <row r="32" spans="1:15" x14ac:dyDescent="0.2">
      <c r="A32" t="s">
        <v>32</v>
      </c>
      <c r="K32" s="16" t="s">
        <v>38</v>
      </c>
    </row>
    <row r="33" spans="4:11" x14ac:dyDescent="0.2">
      <c r="K33" s="16" t="s">
        <v>59</v>
      </c>
    </row>
    <row r="34" spans="4:11" x14ac:dyDescent="0.2">
      <c r="D34" s="33"/>
      <c r="F34" s="33"/>
      <c r="K34" s="16" t="s">
        <v>60</v>
      </c>
    </row>
    <row r="35" spans="4:11" x14ac:dyDescent="0.2">
      <c r="D35" s="33"/>
    </row>
  </sheetData>
  <pageMargins left="0.25" right="0.25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62F3-6BA5-402B-B33D-739A34E84FEA}">
  <dimension ref="A4:L17"/>
  <sheetViews>
    <sheetView zoomScale="150" zoomScaleNormal="150" workbookViewId="0">
      <selection activeCell="J10" sqref="J10"/>
    </sheetView>
  </sheetViews>
  <sheetFormatPr baseColWidth="10" defaultColWidth="8.83203125" defaultRowHeight="15" x14ac:dyDescent="0.2"/>
  <cols>
    <col min="1" max="1" width="11.5" customWidth="1"/>
    <col min="3" max="3" width="10.5" customWidth="1"/>
    <col min="4" max="4" width="7.6640625" customWidth="1"/>
    <col min="5" max="5" width="10.83203125" customWidth="1"/>
    <col min="6" max="6" width="8" customWidth="1"/>
    <col min="7" max="7" width="9.6640625" customWidth="1"/>
    <col min="8" max="8" width="6.33203125" style="19" customWidth="1"/>
    <col min="9" max="9" width="10" customWidth="1"/>
    <col min="11" max="11" width="7.6640625" customWidth="1"/>
  </cols>
  <sheetData>
    <row r="4" spans="1:12" ht="19" x14ac:dyDescent="0.25">
      <c r="A4" s="27" t="s">
        <v>133</v>
      </c>
    </row>
    <row r="5" spans="1:12" x14ac:dyDescent="0.2">
      <c r="A5" t="s">
        <v>136</v>
      </c>
    </row>
    <row r="6" spans="1:12" x14ac:dyDescent="0.2">
      <c r="A6" s="21" t="s">
        <v>30</v>
      </c>
      <c r="B6" s="4" t="s">
        <v>7</v>
      </c>
      <c r="D6" s="23" t="s">
        <v>46</v>
      </c>
      <c r="E6" s="22"/>
      <c r="F6" s="24" t="s">
        <v>7</v>
      </c>
      <c r="L6" s="2"/>
    </row>
    <row r="7" spans="1:12" x14ac:dyDescent="0.2">
      <c r="A7" t="s">
        <v>61</v>
      </c>
      <c r="B7" t="e">
        <f>Tipsen!C23</f>
        <v>#REF!</v>
      </c>
      <c r="D7" s="25">
        <f t="shared" ref="D7:D13" si="0">_xlfn.RANK.EQ(F7,$F$7:$F$13,0)</f>
        <v>1</v>
      </c>
      <c r="E7" s="22" t="s">
        <v>8</v>
      </c>
      <c r="F7" s="22">
        <v>182</v>
      </c>
      <c r="L7" s="2"/>
    </row>
    <row r="8" spans="1:12" x14ac:dyDescent="0.2">
      <c r="A8" t="s">
        <v>15</v>
      </c>
      <c r="B8" t="e">
        <f>Tipsen!E23</f>
        <v>#REF!</v>
      </c>
      <c r="D8" s="25">
        <f t="shared" si="0"/>
        <v>2</v>
      </c>
      <c r="E8" s="22" t="s">
        <v>17</v>
      </c>
      <c r="F8" s="22">
        <v>179</v>
      </c>
      <c r="L8" s="2"/>
    </row>
    <row r="9" spans="1:12" x14ac:dyDescent="0.2">
      <c r="A9" t="s">
        <v>8</v>
      </c>
      <c r="B9" t="e">
        <f>Tipsen!G23</f>
        <v>#REF!</v>
      </c>
      <c r="D9" s="25">
        <f t="shared" si="0"/>
        <v>3</v>
      </c>
      <c r="E9" s="22" t="s">
        <v>10</v>
      </c>
      <c r="F9" s="22">
        <v>171</v>
      </c>
      <c r="L9" s="2"/>
    </row>
    <row r="10" spans="1:12" x14ac:dyDescent="0.2">
      <c r="A10" t="s">
        <v>9</v>
      </c>
      <c r="B10" t="e">
        <f>Tipsen!I23</f>
        <v>#REF!</v>
      </c>
      <c r="D10" s="25">
        <f t="shared" si="0"/>
        <v>4</v>
      </c>
      <c r="E10" s="22" t="s">
        <v>18</v>
      </c>
      <c r="F10" s="22">
        <v>170</v>
      </c>
      <c r="L10" s="2"/>
    </row>
    <row r="11" spans="1:12" x14ac:dyDescent="0.2">
      <c r="A11" t="s">
        <v>10</v>
      </c>
      <c r="B11" t="e">
        <f>Tipsen!K23</f>
        <v>#REF!</v>
      </c>
      <c r="D11" s="25">
        <f t="shared" si="0"/>
        <v>5</v>
      </c>
      <c r="E11" s="22" t="s">
        <v>61</v>
      </c>
      <c r="F11" s="22">
        <v>165</v>
      </c>
      <c r="L11" s="2"/>
    </row>
    <row r="12" spans="1:12" x14ac:dyDescent="0.2">
      <c r="A12" t="s">
        <v>18</v>
      </c>
      <c r="B12" t="e">
        <f>Tipsen!M23</f>
        <v>#REF!</v>
      </c>
      <c r="D12" s="25">
        <f t="shared" si="0"/>
        <v>6</v>
      </c>
      <c r="E12" s="22" t="s">
        <v>15</v>
      </c>
      <c r="F12" s="22">
        <v>157</v>
      </c>
      <c r="L12" s="2"/>
    </row>
    <row r="13" spans="1:12" x14ac:dyDescent="0.2">
      <c r="A13" t="s">
        <v>17</v>
      </c>
      <c r="B13" t="e">
        <f>Tipsen!O23</f>
        <v>#REF!</v>
      </c>
      <c r="D13" s="25">
        <f t="shared" si="0"/>
        <v>7</v>
      </c>
      <c r="E13" s="22" t="s">
        <v>9</v>
      </c>
      <c r="F13" s="22">
        <v>150</v>
      </c>
      <c r="L13" s="2"/>
    </row>
    <row r="14" spans="1:12" x14ac:dyDescent="0.2">
      <c r="H14"/>
      <c r="L14" s="19"/>
    </row>
    <row r="17" spans="10:10" x14ac:dyDescent="0.2">
      <c r="J17" s="28"/>
    </row>
  </sheetData>
  <sortState xmlns:xlrd2="http://schemas.microsoft.com/office/spreadsheetml/2017/richdata2" ref="E7:F13">
    <sortCondition descending="1" ref="F7:F13"/>
  </sortState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A58E-04E7-F541-8F2B-C7A61E2EE460}">
  <sheetPr>
    <pageSetUpPr fitToPage="1"/>
  </sheetPr>
  <dimension ref="A1:O35"/>
  <sheetViews>
    <sheetView zoomScale="115" zoomScaleNormal="115" workbookViewId="0">
      <selection activeCell="M7" sqref="M7"/>
    </sheetView>
  </sheetViews>
  <sheetFormatPr baseColWidth="10" defaultColWidth="8.83203125" defaultRowHeight="15" x14ac:dyDescent="0.2"/>
  <cols>
    <col min="1" max="1" width="13" style="7" customWidth="1"/>
    <col min="2" max="2" width="16.33203125" style="5" bestFit="1" customWidth="1"/>
    <col min="3" max="3" width="6.6640625" style="6" customWidth="1"/>
    <col min="4" max="4" width="16.5" style="5" bestFit="1" customWidth="1"/>
    <col min="5" max="5" width="6.5" style="6" customWidth="1"/>
    <col min="6" max="6" width="16.1640625" style="5" bestFit="1" customWidth="1"/>
    <col min="7" max="7" width="7.6640625" style="6" customWidth="1"/>
    <col min="8" max="8" width="16.5" style="5" bestFit="1" customWidth="1"/>
    <col min="9" max="9" width="6.6640625" style="6" customWidth="1"/>
    <col min="10" max="10" width="17.83203125" style="16" bestFit="1" customWidth="1"/>
    <col min="11" max="11" width="7.33203125" style="34" customWidth="1"/>
    <col min="12" max="12" width="16.5" style="16" bestFit="1" customWidth="1"/>
    <col min="13" max="13" width="6.6640625" style="34" customWidth="1"/>
    <col min="14" max="14" width="16.33203125" style="16" bestFit="1" customWidth="1"/>
    <col min="15" max="15" width="7.1640625" style="34" customWidth="1"/>
    <col min="16" max="16384" width="8.83203125" style="7"/>
  </cols>
  <sheetData>
    <row r="1" spans="1:15" ht="16" x14ac:dyDescent="0.2">
      <c r="A1" s="17" t="s">
        <v>97</v>
      </c>
    </row>
    <row r="2" spans="1:15" ht="7.25" customHeight="1" thickBot="1" x14ac:dyDescent="0.25"/>
    <row r="3" spans="1:15" x14ac:dyDescent="0.2">
      <c r="B3" s="29" t="s">
        <v>61</v>
      </c>
      <c r="C3" s="30" t="s">
        <v>61</v>
      </c>
      <c r="D3" s="29" t="s">
        <v>15</v>
      </c>
      <c r="E3" s="30" t="s">
        <v>15</v>
      </c>
      <c r="F3" s="29" t="s">
        <v>8</v>
      </c>
      <c r="G3" s="30" t="s">
        <v>8</v>
      </c>
      <c r="H3" s="29" t="s">
        <v>9</v>
      </c>
      <c r="I3" s="30" t="s">
        <v>9</v>
      </c>
      <c r="J3" s="29" t="s">
        <v>10</v>
      </c>
      <c r="K3" s="30" t="s">
        <v>10</v>
      </c>
      <c r="L3" s="29" t="s">
        <v>18</v>
      </c>
      <c r="M3" s="30" t="s">
        <v>18</v>
      </c>
      <c r="N3" s="29" t="s">
        <v>17</v>
      </c>
      <c r="O3" s="30" t="s">
        <v>17</v>
      </c>
    </row>
    <row r="4" spans="1:15" x14ac:dyDescent="0.2">
      <c r="B4" s="31" t="s">
        <v>6</v>
      </c>
      <c r="C4" s="32" t="s">
        <v>7</v>
      </c>
      <c r="D4" s="31" t="s">
        <v>6</v>
      </c>
      <c r="E4" s="32" t="s">
        <v>7</v>
      </c>
      <c r="F4" s="31" t="s">
        <v>6</v>
      </c>
      <c r="G4" s="32" t="s">
        <v>7</v>
      </c>
      <c r="H4" s="31" t="s">
        <v>6</v>
      </c>
      <c r="I4" s="32" t="s">
        <v>7</v>
      </c>
      <c r="J4" s="31" t="s">
        <v>6</v>
      </c>
      <c r="K4" s="32" t="s">
        <v>7</v>
      </c>
      <c r="L4" s="31" t="s">
        <v>6</v>
      </c>
      <c r="M4" s="32" t="s">
        <v>7</v>
      </c>
      <c r="N4" s="31" t="s">
        <v>6</v>
      </c>
      <c r="O4" s="32" t="s">
        <v>7</v>
      </c>
    </row>
    <row r="5" spans="1:15" ht="8" customHeight="1" x14ac:dyDescent="0.2">
      <c r="B5" s="8"/>
      <c r="C5" s="9"/>
      <c r="D5" s="8"/>
      <c r="E5" s="9"/>
      <c r="F5" s="8"/>
      <c r="G5" s="9"/>
      <c r="H5" s="8"/>
      <c r="I5" s="9"/>
      <c r="J5" s="31"/>
      <c r="K5" s="32"/>
      <c r="L5" s="31"/>
      <c r="M5" s="32"/>
      <c r="N5" s="31"/>
      <c r="O5" s="32"/>
    </row>
    <row r="6" spans="1:15" x14ac:dyDescent="0.2">
      <c r="A6" s="7" t="s">
        <v>0</v>
      </c>
      <c r="B6" s="13" t="s">
        <v>142</v>
      </c>
      <c r="C6" s="35">
        <v>20</v>
      </c>
      <c r="D6" s="13" t="s">
        <v>113</v>
      </c>
      <c r="E6" s="35">
        <v>13</v>
      </c>
      <c r="F6" s="13" t="s">
        <v>105</v>
      </c>
      <c r="G6" s="35"/>
      <c r="H6" s="13" t="s">
        <v>109</v>
      </c>
      <c r="I6" s="35"/>
      <c r="J6" s="13" t="s">
        <v>144</v>
      </c>
      <c r="K6" s="35">
        <v>4</v>
      </c>
      <c r="L6" s="13" t="s">
        <v>142</v>
      </c>
      <c r="M6" s="35">
        <v>20</v>
      </c>
      <c r="N6" s="13" t="s">
        <v>142</v>
      </c>
      <c r="O6" s="35">
        <v>20</v>
      </c>
    </row>
    <row r="7" spans="1:15" x14ac:dyDescent="0.2">
      <c r="A7" s="7" t="s">
        <v>0</v>
      </c>
      <c r="B7" s="13" t="s">
        <v>143</v>
      </c>
      <c r="C7" s="35">
        <v>12</v>
      </c>
      <c r="D7" s="13" t="s">
        <v>85</v>
      </c>
      <c r="E7" s="35">
        <v>19</v>
      </c>
      <c r="F7" s="13" t="s">
        <v>90</v>
      </c>
      <c r="G7" s="35"/>
      <c r="H7" s="13" t="s">
        <v>86</v>
      </c>
      <c r="I7" s="35"/>
      <c r="J7" s="13" t="s">
        <v>145</v>
      </c>
      <c r="K7" s="35">
        <v>34</v>
      </c>
      <c r="L7" s="13" t="s">
        <v>107</v>
      </c>
      <c r="M7" s="35">
        <v>18</v>
      </c>
      <c r="N7" s="13" t="s">
        <v>107</v>
      </c>
      <c r="O7" s="35">
        <v>18</v>
      </c>
    </row>
    <row r="8" spans="1:15" ht="8" customHeight="1" x14ac:dyDescent="0.2">
      <c r="B8" s="31"/>
      <c r="C8" s="32"/>
      <c r="D8" s="31"/>
      <c r="E8" s="32"/>
      <c r="F8" s="31"/>
      <c r="G8" s="32"/>
      <c r="H8" s="31"/>
      <c r="I8" s="32"/>
      <c r="J8" s="31"/>
      <c r="K8" s="32"/>
      <c r="L8" s="31"/>
      <c r="M8" s="32"/>
      <c r="N8" s="31"/>
      <c r="O8" s="32"/>
    </row>
    <row r="9" spans="1:15" x14ac:dyDescent="0.2">
      <c r="A9" s="7" t="s">
        <v>4</v>
      </c>
      <c r="B9" s="13"/>
      <c r="C9" s="35"/>
      <c r="D9" s="13"/>
      <c r="E9" s="35"/>
      <c r="F9" s="13"/>
      <c r="G9" s="35"/>
      <c r="H9" s="13"/>
      <c r="I9" s="35"/>
      <c r="J9" s="13"/>
      <c r="K9" s="35"/>
      <c r="L9" s="13"/>
      <c r="M9" s="35"/>
      <c r="N9" s="13"/>
      <c r="O9" s="35"/>
    </row>
    <row r="10" spans="1:15" x14ac:dyDescent="0.2">
      <c r="A10" s="7" t="s">
        <v>1</v>
      </c>
      <c r="B10" s="13" t="s">
        <v>99</v>
      </c>
      <c r="C10" s="35">
        <v>81</v>
      </c>
      <c r="D10" s="13" t="s">
        <v>148</v>
      </c>
      <c r="E10" s="35">
        <v>91</v>
      </c>
      <c r="F10" s="39" t="s">
        <v>99</v>
      </c>
      <c r="G10" s="35"/>
      <c r="H10" s="13" t="s">
        <v>89</v>
      </c>
      <c r="I10" s="35"/>
      <c r="J10" s="13" t="s">
        <v>89</v>
      </c>
      <c r="K10" s="35">
        <v>41</v>
      </c>
      <c r="L10" s="13" t="s">
        <v>148</v>
      </c>
      <c r="M10" s="35">
        <v>91</v>
      </c>
      <c r="N10" s="13" t="s">
        <v>147</v>
      </c>
      <c r="O10" s="35">
        <v>100</v>
      </c>
    </row>
    <row r="11" spans="1:15" x14ac:dyDescent="0.2">
      <c r="A11" s="7" t="s">
        <v>1</v>
      </c>
      <c r="B11" s="13" t="s">
        <v>54</v>
      </c>
      <c r="C11" s="35">
        <v>11</v>
      </c>
      <c r="D11" s="13" t="s">
        <v>68</v>
      </c>
      <c r="E11" s="35">
        <v>31</v>
      </c>
      <c r="F11" s="13" t="s">
        <v>66</v>
      </c>
      <c r="G11" s="35"/>
      <c r="H11" s="13" t="s">
        <v>84</v>
      </c>
      <c r="I11" s="35"/>
      <c r="J11" s="13" t="s">
        <v>52</v>
      </c>
      <c r="K11" s="35">
        <v>71</v>
      </c>
      <c r="L11" s="13" t="s">
        <v>147</v>
      </c>
      <c r="M11" s="35">
        <v>100</v>
      </c>
      <c r="N11" s="13" t="s">
        <v>66</v>
      </c>
      <c r="O11" s="35">
        <v>21</v>
      </c>
    </row>
    <row r="12" spans="1:15" x14ac:dyDescent="0.2">
      <c r="A12" s="7" t="s">
        <v>2</v>
      </c>
      <c r="B12" s="13" t="s">
        <v>137</v>
      </c>
      <c r="C12" s="35">
        <v>1</v>
      </c>
      <c r="D12" s="13" t="s">
        <v>83</v>
      </c>
      <c r="E12" s="35">
        <v>1</v>
      </c>
      <c r="F12" s="13" t="s">
        <v>65</v>
      </c>
      <c r="G12" s="35"/>
      <c r="H12" s="13" t="s">
        <v>81</v>
      </c>
      <c r="I12" s="35"/>
      <c r="J12" s="13" t="s">
        <v>112</v>
      </c>
      <c r="K12" s="35">
        <v>31</v>
      </c>
      <c r="L12" s="13" t="s">
        <v>67</v>
      </c>
      <c r="M12" s="35">
        <v>1</v>
      </c>
      <c r="N12" s="13" t="s">
        <v>62</v>
      </c>
      <c r="O12" s="35">
        <v>1</v>
      </c>
    </row>
    <row r="13" spans="1:15" x14ac:dyDescent="0.2">
      <c r="A13" s="7" t="s">
        <v>2</v>
      </c>
      <c r="B13" s="13" t="s">
        <v>100</v>
      </c>
      <c r="C13" s="35">
        <v>31</v>
      </c>
      <c r="D13" s="13" t="s">
        <v>135</v>
      </c>
      <c r="E13" s="35">
        <v>11</v>
      </c>
      <c r="F13" s="13" t="s">
        <v>100</v>
      </c>
      <c r="G13" s="35"/>
      <c r="H13" s="13" t="s">
        <v>108</v>
      </c>
      <c r="I13" s="35"/>
      <c r="J13" s="13" t="s">
        <v>108</v>
      </c>
      <c r="K13" s="35">
        <v>100</v>
      </c>
      <c r="L13" s="13" t="s">
        <v>64</v>
      </c>
      <c r="M13" s="35">
        <v>11</v>
      </c>
      <c r="N13" s="13" t="s">
        <v>146</v>
      </c>
      <c r="O13" s="35">
        <v>11</v>
      </c>
    </row>
    <row r="14" spans="1:15" x14ac:dyDescent="0.2">
      <c r="A14" s="7" t="s">
        <v>2</v>
      </c>
      <c r="B14" s="13" t="s">
        <v>140</v>
      </c>
      <c r="C14" s="41">
        <v>41</v>
      </c>
      <c r="D14" s="13" t="s">
        <v>138</v>
      </c>
      <c r="E14" s="41">
        <v>100</v>
      </c>
      <c r="F14" s="13" t="s">
        <v>101</v>
      </c>
      <c r="G14" s="41"/>
      <c r="H14" s="13" t="s">
        <v>101</v>
      </c>
      <c r="I14" s="41"/>
      <c r="J14" s="13" t="s">
        <v>146</v>
      </c>
      <c r="K14" s="41">
        <v>11</v>
      </c>
      <c r="L14" s="13" t="s">
        <v>154</v>
      </c>
      <c r="M14" s="41">
        <v>21</v>
      </c>
      <c r="N14" s="13" t="s">
        <v>155</v>
      </c>
      <c r="O14" s="41">
        <v>41</v>
      </c>
    </row>
    <row r="15" spans="1:15" ht="8" customHeight="1" x14ac:dyDescent="0.2">
      <c r="B15" s="40"/>
      <c r="C15" s="32"/>
      <c r="D15" s="13"/>
      <c r="E15" s="32"/>
      <c r="F15" s="31"/>
      <c r="G15" s="32"/>
      <c r="H15" s="31"/>
      <c r="I15" s="32"/>
      <c r="J15" s="13"/>
      <c r="K15" s="32"/>
      <c r="L15" s="31"/>
      <c r="M15" s="32"/>
      <c r="N15" s="13"/>
      <c r="O15" s="32"/>
    </row>
    <row r="16" spans="1:15" x14ac:dyDescent="0.2">
      <c r="A16" s="7" t="s">
        <v>3</v>
      </c>
      <c r="B16" s="39"/>
      <c r="C16" s="35"/>
      <c r="D16" s="13"/>
      <c r="E16" s="35"/>
      <c r="F16" s="13"/>
      <c r="G16" s="35"/>
      <c r="H16" s="13"/>
      <c r="I16" s="35"/>
      <c r="J16" s="13"/>
      <c r="K16" s="35"/>
      <c r="L16" s="13"/>
      <c r="M16" s="35"/>
      <c r="N16" s="13"/>
      <c r="O16" s="35"/>
    </row>
    <row r="17" spans="1:15" x14ac:dyDescent="0.2">
      <c r="A17" s="7" t="s">
        <v>1</v>
      </c>
      <c r="B17" s="13" t="s">
        <v>51</v>
      </c>
      <c r="C17" s="35">
        <v>31</v>
      </c>
      <c r="D17" s="13" t="s">
        <v>141</v>
      </c>
      <c r="E17" s="35">
        <v>100</v>
      </c>
      <c r="F17" s="13" t="s">
        <v>89</v>
      </c>
      <c r="G17" s="35"/>
      <c r="H17" s="13" t="s">
        <v>41</v>
      </c>
      <c r="I17" s="35"/>
      <c r="J17" s="13" t="s">
        <v>41</v>
      </c>
      <c r="K17" s="35">
        <v>81</v>
      </c>
      <c r="L17" s="13" t="s">
        <v>88</v>
      </c>
      <c r="M17" s="35">
        <v>81</v>
      </c>
      <c r="N17" s="13" t="s">
        <v>149</v>
      </c>
      <c r="O17" s="35">
        <v>100</v>
      </c>
    </row>
    <row r="18" spans="1:15" x14ac:dyDescent="0.2">
      <c r="A18" s="7" t="s">
        <v>1</v>
      </c>
      <c r="B18" s="13" t="s">
        <v>141</v>
      </c>
      <c r="C18" s="35">
        <v>100</v>
      </c>
      <c r="D18" s="13" t="s">
        <v>149</v>
      </c>
      <c r="E18" s="35">
        <v>100</v>
      </c>
      <c r="F18" s="13" t="s">
        <v>41</v>
      </c>
      <c r="G18" s="35"/>
      <c r="H18" s="39" t="s">
        <v>68</v>
      </c>
      <c r="I18" s="35"/>
      <c r="J18" s="13" t="s">
        <v>147</v>
      </c>
      <c r="K18" s="35">
        <v>100</v>
      </c>
      <c r="L18" s="13" t="s">
        <v>153</v>
      </c>
      <c r="M18" s="35">
        <v>100</v>
      </c>
      <c r="N18" s="13" t="s">
        <v>141</v>
      </c>
      <c r="O18" s="35">
        <v>100</v>
      </c>
    </row>
    <row r="19" spans="1:15" x14ac:dyDescent="0.2">
      <c r="A19" s="7" t="s">
        <v>2</v>
      </c>
      <c r="B19" s="13" t="s">
        <v>138</v>
      </c>
      <c r="C19" s="35">
        <v>100</v>
      </c>
      <c r="D19" s="13" t="s">
        <v>150</v>
      </c>
      <c r="E19" s="35">
        <v>41</v>
      </c>
      <c r="F19" s="13" t="s">
        <v>104</v>
      </c>
      <c r="G19" s="35"/>
      <c r="H19" s="13" t="s">
        <v>63</v>
      </c>
      <c r="I19" s="35"/>
      <c r="J19" s="13" t="s">
        <v>24</v>
      </c>
      <c r="K19" s="35">
        <v>1</v>
      </c>
      <c r="L19" s="13" t="s">
        <v>108</v>
      </c>
      <c r="M19" s="35">
        <v>100</v>
      </c>
      <c r="N19" s="13" t="s">
        <v>115</v>
      </c>
      <c r="O19" s="35">
        <v>41</v>
      </c>
    </row>
    <row r="20" spans="1:15" x14ac:dyDescent="0.2">
      <c r="A20" s="7" t="s">
        <v>2</v>
      </c>
      <c r="B20" s="13" t="s">
        <v>103</v>
      </c>
      <c r="C20" s="35">
        <v>100</v>
      </c>
      <c r="D20" s="13" t="s">
        <v>151</v>
      </c>
      <c r="E20" s="35">
        <v>21</v>
      </c>
      <c r="F20" s="13" t="s">
        <v>103</v>
      </c>
      <c r="G20" s="35"/>
      <c r="H20" s="13" t="s">
        <v>82</v>
      </c>
      <c r="I20" s="35"/>
      <c r="J20" s="13" t="s">
        <v>111</v>
      </c>
      <c r="K20" s="35">
        <v>21</v>
      </c>
      <c r="L20" s="13" t="s">
        <v>155</v>
      </c>
      <c r="M20" s="35">
        <v>41</v>
      </c>
      <c r="N20" s="13" t="s">
        <v>103</v>
      </c>
      <c r="O20" s="35">
        <v>100</v>
      </c>
    </row>
    <row r="21" spans="1:15" x14ac:dyDescent="0.2">
      <c r="A21" s="7" t="s">
        <v>2</v>
      </c>
      <c r="B21" s="13" t="s">
        <v>139</v>
      </c>
      <c r="C21" s="41">
        <v>100</v>
      </c>
      <c r="D21" s="13" t="s">
        <v>152</v>
      </c>
      <c r="E21" s="41">
        <v>100</v>
      </c>
      <c r="F21" s="39" t="s">
        <v>87</v>
      </c>
      <c r="G21" s="41"/>
      <c r="H21" s="42" t="s">
        <v>87</v>
      </c>
      <c r="I21" s="41"/>
      <c r="J21" s="13" t="s">
        <v>138</v>
      </c>
      <c r="K21" s="41">
        <v>100</v>
      </c>
      <c r="L21" s="13" t="s">
        <v>140</v>
      </c>
      <c r="M21" s="41">
        <v>41</v>
      </c>
      <c r="N21" s="13" t="s">
        <v>156</v>
      </c>
      <c r="O21" s="41">
        <v>61</v>
      </c>
    </row>
    <row r="22" spans="1:15" ht="11.5" customHeight="1" x14ac:dyDescent="0.2">
      <c r="B22" s="13"/>
      <c r="C22" s="35"/>
      <c r="D22" s="13"/>
      <c r="E22" s="35"/>
      <c r="F22" s="13"/>
      <c r="G22" s="35"/>
      <c r="H22" s="13"/>
      <c r="I22" s="35"/>
      <c r="J22" s="13"/>
      <c r="K22" s="35"/>
      <c r="L22" s="13"/>
      <c r="M22" s="35"/>
      <c r="N22" s="13"/>
      <c r="O22" s="35"/>
    </row>
    <row r="23" spans="1:15" s="10" customFormat="1" ht="16" thickBot="1" x14ac:dyDescent="0.25">
      <c r="A23" s="10" t="s">
        <v>5</v>
      </c>
      <c r="B23" s="11"/>
      <c r="C23" s="12">
        <f>SUM(C6:C21)</f>
        <v>628</v>
      </c>
      <c r="D23" s="11"/>
      <c r="E23" s="12">
        <f>SUM(E6:E21)</f>
        <v>628</v>
      </c>
      <c r="F23" s="11"/>
      <c r="G23" s="12">
        <f>SUM(G6:G21)</f>
        <v>0</v>
      </c>
      <c r="H23" s="11"/>
      <c r="I23" s="12">
        <f>SUM(I6:I21)</f>
        <v>0</v>
      </c>
      <c r="J23" s="36"/>
      <c r="K23" s="37">
        <f>SUM(K6:K21)</f>
        <v>595</v>
      </c>
      <c r="L23" s="36"/>
      <c r="M23" s="37">
        <f>SUM(M6:M21)</f>
        <v>625</v>
      </c>
      <c r="N23" s="36"/>
      <c r="O23" s="37">
        <f>SUM(O6:O21)</f>
        <v>614</v>
      </c>
    </row>
    <row r="25" spans="1:15" x14ac:dyDescent="0.2">
      <c r="A25" s="20" t="s">
        <v>28</v>
      </c>
      <c r="E25" s="3" t="s">
        <v>127</v>
      </c>
      <c r="F25" s="6"/>
      <c r="H25" s="6"/>
      <c r="K25" s="16" t="s">
        <v>132</v>
      </c>
      <c r="L25" s="34"/>
      <c r="N25" s="34"/>
    </row>
    <row r="26" spans="1:15" x14ac:dyDescent="0.2">
      <c r="A26" t="s">
        <v>25</v>
      </c>
      <c r="E26" s="3" t="s">
        <v>128</v>
      </c>
      <c r="I26" s="19"/>
      <c r="K26" s="16" t="s">
        <v>45</v>
      </c>
    </row>
    <row r="27" spans="1:15" x14ac:dyDescent="0.2">
      <c r="E27" s="3" t="s">
        <v>129</v>
      </c>
      <c r="K27" s="16" t="s">
        <v>44</v>
      </c>
    </row>
    <row r="28" spans="1:15" x14ac:dyDescent="0.2">
      <c r="A28" s="20" t="s">
        <v>29</v>
      </c>
      <c r="E28" s="3" t="s">
        <v>130</v>
      </c>
      <c r="K28" s="15"/>
    </row>
    <row r="29" spans="1:15" x14ac:dyDescent="0.2">
      <c r="A29" t="s">
        <v>26</v>
      </c>
      <c r="E29" s="3" t="s">
        <v>131</v>
      </c>
      <c r="K29" s="16" t="s">
        <v>27</v>
      </c>
    </row>
    <row r="30" spans="1:15" x14ac:dyDescent="0.2">
      <c r="A30"/>
      <c r="K30" s="16" t="s">
        <v>47</v>
      </c>
    </row>
    <row r="31" spans="1:15" x14ac:dyDescent="0.2">
      <c r="A31" t="s">
        <v>31</v>
      </c>
    </row>
    <row r="32" spans="1:15" x14ac:dyDescent="0.2">
      <c r="A32" t="s">
        <v>32</v>
      </c>
      <c r="K32" s="16" t="s">
        <v>38</v>
      </c>
    </row>
    <row r="33" spans="4:11" x14ac:dyDescent="0.2">
      <c r="K33" s="16" t="s">
        <v>59</v>
      </c>
    </row>
    <row r="34" spans="4:11" x14ac:dyDescent="0.2">
      <c r="D34" s="33"/>
      <c r="F34" s="33"/>
      <c r="K34" s="16" t="s">
        <v>60</v>
      </c>
    </row>
    <row r="35" spans="4:11" x14ac:dyDescent="0.2">
      <c r="D35" s="33"/>
    </row>
  </sheetData>
  <pageMargins left="0.25" right="0.25" top="0.75" bottom="0.75" header="0.3" footer="0.3"/>
  <pageSetup paperSize="9" scale="53" orientation="landscape" r:id="rId1"/>
</worksheet>
</file>

<file path=docMetadata/LabelInfo.xml><?xml version="1.0" encoding="utf-8"?>
<clbl:labelList xmlns:clbl="http://schemas.microsoft.com/office/2020/mipLabelMetadata">
  <clbl:label id="{86ea91a9-2a44-4bd1-9209-8b4d2cf4d14b}" enabled="1" method="Privileged" siteId="{e1a2f902-2172-474f-a88a-189ec4f083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5</vt:i4>
      </vt:variant>
    </vt:vector>
  </HeadingPairs>
  <TitlesOfParts>
    <vt:vector size="5" baseType="lpstr">
      <vt:lpstr>Spelarna</vt:lpstr>
      <vt:lpstr>Byten</vt:lpstr>
      <vt:lpstr>Tipsen</vt:lpstr>
      <vt:lpstr>Ställningen</vt:lpstr>
      <vt:lpstr>nya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Sjölander</dc:creator>
  <cp:lastModifiedBy>Jarmo Rautiainen</cp:lastModifiedBy>
  <cp:lastPrinted>2018-10-17T09:45:25Z</cp:lastPrinted>
  <dcterms:created xsi:type="dcterms:W3CDTF">2017-10-04T07:23:13Z</dcterms:created>
  <dcterms:modified xsi:type="dcterms:W3CDTF">2026-03-05T21:22:56Z</dcterms:modified>
</cp:coreProperties>
</file>