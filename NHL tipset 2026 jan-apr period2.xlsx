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morautiainen/nhl-stats/"/>
    </mc:Choice>
  </mc:AlternateContent>
  <xr:revisionPtr revIDLastSave="0" documentId="8_{C4947FE8-C25E-7F47-8580-0813E0F408BF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Spelarna" sheetId="2" r:id="rId1"/>
    <sheet name="Byten" sheetId="4" state="hidden" r:id="rId2"/>
    <sheet name="Tipsen" sheetId="1" r:id="rId3"/>
    <sheet name="Ställningen" sheetId="3" r:id="rId4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D5" i="3"/>
  <c r="D6" i="3"/>
  <c r="D7" i="3"/>
  <c r="D8" i="3"/>
  <c r="D9" i="3"/>
  <c r="D10" i="3"/>
  <c r="D4" i="3"/>
  <c r="C26" i="2" l="1"/>
  <c r="C41" i="2"/>
  <c r="I14" i="1" s="1"/>
  <c r="C40" i="2"/>
  <c r="I20" i="1" s="1"/>
  <c r="C18" i="2"/>
  <c r="O10" i="1" s="1"/>
  <c r="C19" i="2"/>
  <c r="O19" i="1" s="1"/>
  <c r="C20" i="2"/>
  <c r="M10" i="1" s="1"/>
  <c r="C48" i="2"/>
  <c r="M14" i="1" s="1"/>
  <c r="G20" i="1"/>
  <c r="C55" i="2"/>
  <c r="G11" i="1" s="1"/>
  <c r="C54" i="2"/>
  <c r="O14" i="1" s="1"/>
  <c r="C22" i="2"/>
  <c r="E19" i="1" s="1"/>
  <c r="C23" i="2"/>
  <c r="G10" i="1" s="1"/>
  <c r="C24" i="2"/>
  <c r="E20" i="1" s="1"/>
  <c r="C57" i="2"/>
  <c r="O13" i="1" s="1"/>
  <c r="C56" i="2"/>
  <c r="O17" i="1" s="1"/>
  <c r="C36" i="2"/>
  <c r="K21" i="1" s="1"/>
  <c r="C42" i="2"/>
  <c r="O18" i="1" s="1"/>
  <c r="C51" i="2"/>
  <c r="C14" i="1" s="1"/>
  <c r="F7" i="2"/>
  <c r="I7" i="2" s="1"/>
  <c r="C7" i="1" s="1"/>
  <c r="F5" i="2"/>
  <c r="I5" i="2" s="1"/>
  <c r="C61" i="2"/>
  <c r="C46" i="2"/>
  <c r="C44" i="2"/>
  <c r="K12" i="1" s="1"/>
  <c r="F6" i="2"/>
  <c r="I6" i="2" s="1"/>
  <c r="O6" i="1" s="1"/>
  <c r="F8" i="2"/>
  <c r="I8" i="2" s="1"/>
  <c r="E6" i="1" s="1"/>
  <c r="F9" i="2"/>
  <c r="I9" i="2" s="1"/>
  <c r="K6" i="1" s="1"/>
  <c r="F10" i="2"/>
  <c r="I10" i="2" s="1"/>
  <c r="M6" i="1" s="1"/>
  <c r="F11" i="2"/>
  <c r="I11" i="2" s="1"/>
  <c r="K7" i="1" s="1"/>
  <c r="F12" i="2"/>
  <c r="I12" i="2" s="1"/>
  <c r="O7" i="1" s="1"/>
  <c r="F13" i="2"/>
  <c r="I13" i="2" s="1"/>
  <c r="G7" i="1" s="1"/>
  <c r="C59" i="2"/>
  <c r="C35" i="2"/>
  <c r="C29" i="2"/>
  <c r="E12" i="1" s="1"/>
  <c r="C38" i="2"/>
  <c r="C60" i="2"/>
  <c r="C17" i="2"/>
  <c r="C21" i="2"/>
  <c r="K17" i="1" s="1"/>
  <c r="C25" i="2"/>
  <c r="C11" i="1" s="1"/>
  <c r="C27" i="2"/>
  <c r="C28" i="2"/>
  <c r="C30" i="2"/>
  <c r="K10" i="1" s="1"/>
  <c r="C31" i="2"/>
  <c r="C32" i="2"/>
  <c r="K19" i="1" s="1"/>
  <c r="C33" i="2"/>
  <c r="C17" i="1" s="1"/>
  <c r="C34" i="2"/>
  <c r="O12" i="1" s="1"/>
  <c r="C37" i="2"/>
  <c r="C10" i="1" s="1"/>
  <c r="C39" i="2"/>
  <c r="C43" i="2"/>
  <c r="O20" i="1" s="1"/>
  <c r="C45" i="2"/>
  <c r="O21" i="1" s="1"/>
  <c r="C49" i="2"/>
  <c r="M12" i="1" s="1"/>
  <c r="C50" i="2"/>
  <c r="C52" i="2"/>
  <c r="G12" i="1" s="1"/>
  <c r="C53" i="2"/>
  <c r="C58" i="2"/>
  <c r="G13" i="1" s="1"/>
  <c r="C62" i="2"/>
  <c r="K11" i="1" s="1"/>
  <c r="C63" i="2"/>
  <c r="E13" i="1" s="1"/>
  <c r="M21" i="1" l="1"/>
  <c r="I10" i="1"/>
  <c r="K18" i="1"/>
  <c r="M11" i="1"/>
  <c r="I12" i="1"/>
  <c r="G21" i="1"/>
  <c r="I13" i="1"/>
  <c r="G14" i="1"/>
  <c r="M20" i="1"/>
  <c r="E10" i="1"/>
  <c r="G19" i="1"/>
  <c r="K14" i="1"/>
  <c r="E14" i="1"/>
  <c r="E17" i="1"/>
  <c r="G17" i="1"/>
  <c r="I18" i="1"/>
  <c r="M18" i="1"/>
  <c r="C19" i="1"/>
  <c r="E21" i="1"/>
  <c r="C21" i="1"/>
  <c r="C18" i="1"/>
  <c r="E18" i="1"/>
  <c r="I17" i="1"/>
  <c r="C6" i="1"/>
  <c r="G6" i="1"/>
  <c r="I6" i="1"/>
  <c r="C12" i="1"/>
  <c r="E11" i="1"/>
  <c r="K20" i="1"/>
  <c r="C20" i="1"/>
  <c r="C13" i="1"/>
  <c r="G18" i="1"/>
  <c r="I21" i="1"/>
  <c r="M19" i="1"/>
  <c r="K13" i="1"/>
  <c r="I19" i="1"/>
  <c r="O11" i="1"/>
  <c r="M13" i="1"/>
  <c r="E7" i="1"/>
  <c r="M7" i="1"/>
  <c r="I11" i="1"/>
  <c r="M17" i="1"/>
  <c r="F4" i="2" l="1"/>
  <c r="I4" i="2" l="1"/>
  <c r="I7" i="1" s="1"/>
  <c r="I23" i="1" s="1"/>
  <c r="B7" i="3" s="1"/>
  <c r="M23" i="1"/>
  <c r="B9" i="3" s="1"/>
  <c r="G23" i="1"/>
  <c r="B6" i="3" s="1"/>
  <c r="E23" i="1"/>
  <c r="B5" i="3" s="1"/>
  <c r="K23" i="1"/>
  <c r="B8" i="3" s="1"/>
  <c r="O23" i="1"/>
  <c r="B10" i="3" s="1"/>
  <c r="C23" i="1" l="1"/>
  <c r="B4" i="3" s="1"/>
  <c r="G8" i="3" l="1"/>
  <c r="G9" i="3"/>
  <c r="G7" i="3"/>
  <c r="G4" i="3"/>
  <c r="G6" i="3"/>
  <c r="G5" i="3"/>
  <c r="G10" i="3"/>
  <c r="K8" i="3" l="1"/>
  <c r="K7" i="3"/>
  <c r="K9" i="3"/>
  <c r="K10" i="3"/>
  <c r="K4" i="3"/>
  <c r="K5" i="3"/>
  <c r="K6" i="3"/>
  <c r="I6" i="3" l="1"/>
  <c r="I9" i="3"/>
  <c r="I4" i="3"/>
  <c r="I5" i="3"/>
  <c r="I8" i="3"/>
  <c r="I10" i="3"/>
  <c r="I7" i="3"/>
</calcChain>
</file>

<file path=xl/sharedStrings.xml><?xml version="1.0" encoding="utf-8"?>
<sst xmlns="http://schemas.openxmlformats.org/spreadsheetml/2006/main" count="373" uniqueCount="200">
  <si>
    <t>MV</t>
  </si>
  <si>
    <t>B</t>
  </si>
  <si>
    <t>F</t>
  </si>
  <si>
    <t>2:a femman</t>
  </si>
  <si>
    <t>1:a femman</t>
  </si>
  <si>
    <t>Totalpoäng</t>
  </si>
  <si>
    <t>Spelare</t>
  </si>
  <si>
    <t>Poäng</t>
  </si>
  <si>
    <t>Mattias</t>
  </si>
  <si>
    <t>Henrik</t>
  </si>
  <si>
    <t>Joakim</t>
  </si>
  <si>
    <t>Kent</t>
  </si>
  <si>
    <t>Alla valda spelare</t>
  </si>
  <si>
    <t>Målvakter</t>
  </si>
  <si>
    <t>Lag</t>
  </si>
  <si>
    <t>Utespelare</t>
  </si>
  <si>
    <t>Tampa Bay</t>
  </si>
  <si>
    <t>Dallas</t>
  </si>
  <si>
    <t>Toronto</t>
  </si>
  <si>
    <t>Vinster</t>
  </si>
  <si>
    <t>Nollor</t>
  </si>
  <si>
    <t>Antal</t>
  </si>
  <si>
    <t>poäng</t>
  </si>
  <si>
    <t>totalt</t>
  </si>
  <si>
    <t>Kjell</t>
  </si>
  <si>
    <t>Victor</t>
  </si>
  <si>
    <t>Fredrik</t>
  </si>
  <si>
    <t>Jarmo</t>
  </si>
  <si>
    <t>Winnipeg</t>
  </si>
  <si>
    <t>Boston</t>
  </si>
  <si>
    <t>Colorado</t>
  </si>
  <si>
    <t>McDavid</t>
  </si>
  <si>
    <t>Edmonton</t>
  </si>
  <si>
    <t>McDavid (Edm)</t>
  </si>
  <si>
    <t>20, 16, 13, 11, 9, 7, 5, 4, 3, 2, 1 p</t>
  </si>
  <si>
    <t>30, 24, 19, 15, 12, 10, 8, 6, 4, 2, 1 p</t>
  </si>
  <si>
    <t>Mål och assist ger 1p. Seger för målvakt ger 2p. Håller målvakten nollan ger det 2 extrapoäng.</t>
  </si>
  <si>
    <t>Placeringspoäng slutställning omgång 1 och 2:</t>
  </si>
  <si>
    <t>Placeringspoäng slutställning omgång 3:</t>
  </si>
  <si>
    <t>Tippare</t>
  </si>
  <si>
    <t>Om det blir 2 eller fler som delar en placering, får dessa dela på poängen som dessa platser ger (avrundat till närmaste heltal).</t>
  </si>
  <si>
    <t>(ex: är det 2 st som blir tvåa i omgång 1 och ska dela på 16+13=29p, så får de 15p var (14,5 avrundas till 15).</t>
  </si>
  <si>
    <t>in</t>
  </si>
  <si>
    <t>ut</t>
  </si>
  <si>
    <t>period 1/2</t>
  </si>
  <si>
    <t>period 2/3</t>
  </si>
  <si>
    <t>NHL-tipset</t>
  </si>
  <si>
    <t>Vegas</t>
  </si>
  <si>
    <t xml:space="preserve">Den tippare som har flest placeringspoäng efter alla tre delomgångar vinner tipset. </t>
  </si>
  <si>
    <t>Makar</t>
  </si>
  <si>
    <t>NY Rangers</t>
  </si>
  <si>
    <t>Dahlin (Buf)</t>
  </si>
  <si>
    <t>Buffalo</t>
  </si>
  <si>
    <t>Dahlin</t>
  </si>
  <si>
    <r>
      <t xml:space="preserve">Man får </t>
    </r>
    <r>
      <rPr>
        <u/>
        <sz val="11"/>
        <rFont val="Calibri"/>
        <family val="2"/>
        <scheme val="minor"/>
      </rPr>
      <t>inte</t>
    </r>
    <r>
      <rPr>
        <sz val="11"/>
        <rFont val="Calibri"/>
        <family val="2"/>
        <scheme val="minor"/>
      </rPr>
      <t xml:space="preserve"> byta in en spelare som någon annan redan har i sitt lag.</t>
    </r>
  </si>
  <si>
    <r>
      <t xml:space="preserve">som vid start av tipset. </t>
    </r>
    <r>
      <rPr>
        <u/>
        <sz val="11"/>
        <rFont val="Calibri"/>
        <family val="2"/>
        <scheme val="minor"/>
      </rPr>
      <t>Minst</t>
    </r>
    <r>
      <rPr>
        <sz val="11"/>
        <rFont val="Calibri"/>
        <family val="2"/>
        <scheme val="minor"/>
      </rPr>
      <t xml:space="preserve"> 2 spelare </t>
    </r>
    <r>
      <rPr>
        <u/>
        <sz val="11"/>
        <rFont val="Calibri"/>
        <family val="2"/>
        <scheme val="minor"/>
      </rPr>
      <t>måste</t>
    </r>
    <r>
      <rPr>
        <sz val="11"/>
        <rFont val="Calibri"/>
        <family val="2"/>
        <scheme val="minor"/>
      </rPr>
      <t xml:space="preserve"> man byta (inkl ev byte av målvakt). </t>
    </r>
  </si>
  <si>
    <t>Hopsamlade poäng på spelarna nollställs efter varje delomgång.</t>
  </si>
  <si>
    <t>MacKinnon</t>
  </si>
  <si>
    <t>Minnesota</t>
  </si>
  <si>
    <t>Bouchard (Edm)</t>
  </si>
  <si>
    <t>Morrissey (Win)</t>
  </si>
  <si>
    <t>Makar (Col)</t>
  </si>
  <si>
    <t>Bouchard</t>
  </si>
  <si>
    <t>Detroit</t>
  </si>
  <si>
    <t>NJ Devils</t>
  </si>
  <si>
    <t>Morrissey</t>
  </si>
  <si>
    <t>300 kr går till vinnaren av period 1, 2 resp 3.</t>
  </si>
  <si>
    <t>2.100 kr går till totalvinnaren, 500 kr till totaltvåan.</t>
  </si>
  <si>
    <t>Timmy</t>
  </si>
  <si>
    <t>Draisaitl (Edm)</t>
  </si>
  <si>
    <t>MacKinnon (Col)</t>
  </si>
  <si>
    <t>Johnston (Dal)</t>
  </si>
  <si>
    <t>Kucherov (Tam)</t>
  </si>
  <si>
    <t>Werenski (Colu)</t>
  </si>
  <si>
    <t>Celebrini (SJS)</t>
  </si>
  <si>
    <t>Hutson (Mon)</t>
  </si>
  <si>
    <t>San Jose</t>
  </si>
  <si>
    <t>Werenski</t>
  </si>
  <si>
    <t>Columbus</t>
  </si>
  <si>
    <t>Johnston</t>
  </si>
  <si>
    <t>Draisaitl</t>
  </si>
  <si>
    <t>Montreal</t>
  </si>
  <si>
    <t>Hutson</t>
  </si>
  <si>
    <t>Kucherov</t>
  </si>
  <si>
    <t>Celebrini</t>
  </si>
  <si>
    <t>Scheiffele</t>
  </si>
  <si>
    <t>Hughes</t>
  </si>
  <si>
    <t>Washington</t>
  </si>
  <si>
    <t>Rantanen (Dal)</t>
  </si>
  <si>
    <t>Carlson (Was)</t>
  </si>
  <si>
    <t>Blackwood (Col)</t>
  </si>
  <si>
    <t>Stone (Veg)</t>
  </si>
  <si>
    <t>Raddysh (Tam)</t>
  </si>
  <si>
    <t>Heiskanen (Dal)</t>
  </si>
  <si>
    <t>Vasilievskiy (Tam)</t>
  </si>
  <si>
    <t>Raddysh</t>
  </si>
  <si>
    <t>Heiskanen</t>
  </si>
  <si>
    <t>Carolina</t>
  </si>
  <si>
    <t>Carlson</t>
  </si>
  <si>
    <t>Rantanen</t>
  </si>
  <si>
    <t>Stone</t>
  </si>
  <si>
    <t>Blackwood</t>
  </si>
  <si>
    <t>Vasilievskiy</t>
  </si>
  <si>
    <t>NHL-tipset jan26-apr26</t>
  </si>
  <si>
    <t>Q. Hughes (Min)</t>
  </si>
  <si>
    <t>Marner (Veg)</t>
  </si>
  <si>
    <t>J. Hughes (NJD)</t>
  </si>
  <si>
    <t>Gibson (Det)</t>
  </si>
  <si>
    <t>Hyman (Edm)</t>
  </si>
  <si>
    <t>Pasternak (Bos)</t>
  </si>
  <si>
    <t>Panarin (NYR)</t>
  </si>
  <si>
    <t>Gustavsson (Min)</t>
  </si>
  <si>
    <t>Scheiffele (Win)</t>
  </si>
  <si>
    <t>Gustavsson</t>
  </si>
  <si>
    <t>Thompson</t>
  </si>
  <si>
    <t>Gibson</t>
  </si>
  <si>
    <t>start</t>
  </si>
  <si>
    <t>Pasternak</t>
  </si>
  <si>
    <t>Hyman</t>
  </si>
  <si>
    <t>Panarin</t>
  </si>
  <si>
    <t>Marner</t>
  </si>
  <si>
    <t>Connor</t>
  </si>
  <si>
    <t>J. Hughes</t>
  </si>
  <si>
    <t>Omgång 1 är mellan 27 december till 25 januari kl 10.00.</t>
  </si>
  <si>
    <r>
      <t xml:space="preserve">Byte av </t>
    </r>
    <r>
      <rPr>
        <u/>
        <sz val="11"/>
        <color theme="1"/>
        <rFont val="Calibri"/>
        <family val="2"/>
        <scheme val="minor"/>
      </rPr>
      <t>minst</t>
    </r>
    <r>
      <rPr>
        <sz val="11"/>
        <color theme="1"/>
        <rFont val="Calibri"/>
        <family val="2"/>
        <scheme val="minor"/>
      </rPr>
      <t xml:space="preserve"> 2 spelare sker 25 januari mellan kl 10.00 - 18.00.</t>
    </r>
  </si>
  <si>
    <t>Omgång 2 är mellan 25 januari kl 18.00 till 15 mars kl 10.00.</t>
  </si>
  <si>
    <r>
      <t xml:space="preserve">Byte av </t>
    </r>
    <r>
      <rPr>
        <u/>
        <sz val="11"/>
        <color theme="1"/>
        <rFont val="Calibri"/>
        <family val="2"/>
        <scheme val="minor"/>
      </rPr>
      <t>minst</t>
    </r>
    <r>
      <rPr>
        <sz val="11"/>
        <color theme="1"/>
        <rFont val="Calibri"/>
        <family val="2"/>
        <scheme val="minor"/>
      </rPr>
      <t xml:space="preserve"> 2 spelare sker 15 mars mellan kl 10.00 - 18.00.</t>
    </r>
  </si>
  <si>
    <t>Omgång 3 är mellan 15 mars kl 18.00 till 17 april.</t>
  </si>
  <si>
    <t>Poängligan den 25:e dec 2025 gäller vid bytena. Vid bytena gäller samma grundregler</t>
  </si>
  <si>
    <t>period 2</t>
  </si>
  <si>
    <t>Dostal</t>
  </si>
  <si>
    <t>Bussi</t>
  </si>
  <si>
    <t>Bussi (Car)</t>
  </si>
  <si>
    <t>Gostisbehere (Car)</t>
  </si>
  <si>
    <t>Sergachev (Uta)</t>
  </si>
  <si>
    <t>Sanderson (Ott)</t>
  </si>
  <si>
    <t>Keller (Uta)</t>
  </si>
  <si>
    <t>Eichel (Veg)</t>
  </si>
  <si>
    <t>Malkin (Pit)</t>
  </si>
  <si>
    <t>Crosby (Pit)</t>
  </si>
  <si>
    <t>Jarry (Edm)</t>
  </si>
  <si>
    <t>Suzuki (Mon)</t>
  </si>
  <si>
    <t>Josi (Nas)</t>
  </si>
  <si>
    <t>Thompson (Buf)</t>
  </si>
  <si>
    <t>Caufield (Mon)</t>
  </si>
  <si>
    <t>Lyon (Buf)</t>
  </si>
  <si>
    <t>Hagel (Tam)</t>
  </si>
  <si>
    <t>Samuelsson (Buf)</t>
  </si>
  <si>
    <t>McAvoy (Bos)</t>
  </si>
  <si>
    <t>Theodore (Veg)</t>
  </si>
  <si>
    <t>Zibanejad (NYR)</t>
  </si>
  <si>
    <t>DeBrincat (Det)</t>
  </si>
  <si>
    <t>Aho (Car)</t>
  </si>
  <si>
    <t>Svechnikov (Car)</t>
  </si>
  <si>
    <t>Tkachuk (Flo)</t>
  </si>
  <si>
    <t>Vejmelka (Uta)</t>
  </si>
  <si>
    <t>Markström (NJD)</t>
  </si>
  <si>
    <t>Kaprizov (Min)</t>
  </si>
  <si>
    <t>Matthews (Tor)</t>
  </si>
  <si>
    <t>Dostal (Ana)</t>
  </si>
  <si>
    <t>Anaheim</t>
  </si>
  <si>
    <t>Jarry</t>
  </si>
  <si>
    <t>Vejmelka</t>
  </si>
  <si>
    <t>Utah</t>
  </si>
  <si>
    <t>Markström</t>
  </si>
  <si>
    <t>New Jersey</t>
  </si>
  <si>
    <t>Lyon</t>
  </si>
  <si>
    <t>Kaprizov</t>
  </si>
  <si>
    <t>Hagel</t>
  </si>
  <si>
    <t>Josi</t>
  </si>
  <si>
    <t>Nashville</t>
  </si>
  <si>
    <t>Florida</t>
  </si>
  <si>
    <t>Tkachuk</t>
  </si>
  <si>
    <t>Matthews</t>
  </si>
  <si>
    <t>Theodore</t>
  </si>
  <si>
    <t>Eichel</t>
  </si>
  <si>
    <t>DeBrincat</t>
  </si>
  <si>
    <t>Ottawa</t>
  </si>
  <si>
    <t>Sanderson</t>
  </si>
  <si>
    <t>Aho</t>
  </si>
  <si>
    <t>Gostisbehere</t>
  </si>
  <si>
    <t>Svechnikov</t>
  </si>
  <si>
    <t>Keller</t>
  </si>
  <si>
    <t>Sergachev</t>
  </si>
  <si>
    <t>Pittsburgh</t>
  </si>
  <si>
    <t>Malkin</t>
  </si>
  <si>
    <t>Crosby</t>
  </si>
  <si>
    <t>McAvoy</t>
  </si>
  <si>
    <t>Samuelsson</t>
  </si>
  <si>
    <t>Suzuki</t>
  </si>
  <si>
    <t>Caufield</t>
  </si>
  <si>
    <t>Zibanejad</t>
  </si>
  <si>
    <t>Ställning period 2</t>
  </si>
  <si>
    <t>LIVE POINTS 2. PERIODEN</t>
  </si>
  <si>
    <t>Liveställning: 1:a + 2:a  perioden</t>
  </si>
  <si>
    <t>Ställning efter 1:a perioden</t>
  </si>
  <si>
    <t xml:space="preserve"> </t>
  </si>
  <si>
    <t>x</t>
  </si>
  <si>
    <t>LA</t>
  </si>
  <si>
    <t>Datum: 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</si>
</sst>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"/>
      <color rgb="FF242424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2" xfId="0" applyFont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2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>
      <alignment horizontal="left"/>
    </xf>
    <xf numFmtId="16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/>
    <xf numFmtId="0" fontId="0" fillId="3" borderId="0" xfId="0" applyFill="1"/>
    <xf numFmtId="0" fontId="6" fillId="3" borderId="0" xfId="0" applyFont="1" applyFill="1"/>
    <xf numFmtId="0" fontId="7" fillId="0" borderId="0" xfId="0" applyFont="1" applyAlignment="1">
      <alignment horizontal="left"/>
    </xf>
    <xf numFmtId="0" fontId="0" fillId="4" borderId="0" xfId="0" applyFill="1"/>
    <xf numFmtId="0" fontId="7" fillId="4" borderId="0" xfId="0" applyFont="1" applyFill="1"/>
    <xf numFmtId="0" fontId="7" fillId="4" borderId="0" xfId="0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horizontal="right"/>
    </xf>
    <xf numFmtId="0" fontId="11" fillId="0" borderId="0" xfId="0" applyFont="1"/>
    <xf numFmtId="2" fontId="0" fillId="0" borderId="0" xfId="0" applyNumberFormat="1"/>
    <xf numFmtId="0" fontId="12" fillId="0" borderId="1" xfId="0" applyFont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2" borderId="5" xfId="0" applyFont="1" applyFill="1" applyBorder="1" applyAlignment="1">
      <alignment horizontal="center"/>
    </xf>
    <xf numFmtId="16" fontId="8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2" borderId="6" xfId="0" applyFont="1" applyFill="1" applyBorder="1" applyAlignment="1">
      <alignment horizontal="center"/>
    </xf>
    <xf numFmtId="0" fontId="14" fillId="0" borderId="0" xfId="0" applyFont="1"/>
    <xf numFmtId="0" fontId="6" fillId="3" borderId="0" xfId="0" applyFont="1" applyFill="1" applyAlignment="1">
      <alignment horizontal="right"/>
    </xf>
    <xf numFmtId="0" fontId="6" fillId="6" borderId="0" xfId="0" applyFont="1" applyFill="1"/>
    <xf numFmtId="0" fontId="14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6" fillId="2" borderId="7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3" borderId="0" xfId="0" applyFill="1" applyAlignment="1">
      <alignment horizontal="right"/>
    </xf>
    <xf numFmtId="0" fontId="3" fillId="0" borderId="0" xfId="0" applyFont="1"/>
    <xf numFmtId="0" fontId="16" fillId="0" borderId="0" xfId="0" applyFont="1"/>
    <xf numFmtId="0" fontId="0" fillId="3" borderId="0" xfId="0" applyFill="1" applyAlignment="1">
      <alignment horizontal="center"/>
    </xf>
    <xf numFmtId="0" fontId="3" fillId="4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</cellXfs>
  <cellStyles count="1">
    <cellStyle name="Normaali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tabSelected="1" zoomScale="120" zoomScaleNormal="120" workbookViewId="0">
      <selection activeCell="C13" sqref="C13"/>
    </sheetView>
  </sheetViews>
  <sheetFormatPr baseColWidth="10" defaultColWidth="8.83203125" defaultRowHeight="15" x14ac:dyDescent="0.2"/>
  <cols>
    <col min="1" max="1" width="14.6640625" style="5" customWidth="1"/>
    <col min="2" max="3" width="12.33203125" customWidth="1"/>
    <col min="5" max="6" width="10.1640625" customWidth="1"/>
    <col min="7" max="7" width="5.33203125" customWidth="1"/>
    <col min="8" max="8" width="9.33203125" bestFit="1" customWidth="1"/>
  </cols>
  <sheetData>
    <row r="1" spans="1:10" ht="16" x14ac:dyDescent="0.2">
      <c r="A1" s="3" t="s">
        <v>12</v>
      </c>
    </row>
    <row r="2" spans="1:10" x14ac:dyDescent="0.2">
      <c r="C2" s="1" t="s">
        <v>21</v>
      </c>
      <c r="D2" s="1" t="s">
        <v>21</v>
      </c>
      <c r="E2" s="1" t="s">
        <v>21</v>
      </c>
      <c r="F2" s="6" t="s">
        <v>7</v>
      </c>
      <c r="G2" s="1"/>
      <c r="H2" s="1" t="s">
        <v>7</v>
      </c>
      <c r="I2" s="1" t="s">
        <v>7</v>
      </c>
      <c r="J2" s="1"/>
    </row>
    <row r="3" spans="1:10" x14ac:dyDescent="0.2">
      <c r="A3" s="4" t="s">
        <v>13</v>
      </c>
      <c r="B3" s="2" t="s">
        <v>14</v>
      </c>
      <c r="C3" s="1" t="s">
        <v>19</v>
      </c>
      <c r="D3" s="1" t="s">
        <v>20</v>
      </c>
      <c r="E3" s="1" t="s">
        <v>22</v>
      </c>
      <c r="F3" s="6" t="s">
        <v>23</v>
      </c>
      <c r="G3" s="1"/>
      <c r="H3" s="1" t="s">
        <v>116</v>
      </c>
      <c r="I3" s="1" t="s">
        <v>129</v>
      </c>
      <c r="J3" s="1"/>
    </row>
    <row r="4" spans="1:10" x14ac:dyDescent="0.2">
      <c r="A4" s="19" t="s">
        <v>161</v>
      </c>
      <c r="B4" s="18" t="s">
        <v>32</v>
      </c>
      <c r="C4" s="46">
        <v>15</v>
      </c>
      <c r="D4" s="46">
        <v>2</v>
      </c>
      <c r="E4" s="46">
        <v>0</v>
      </c>
      <c r="F4" s="17">
        <f t="shared" ref="F4" si="0">((C4+D4)*2)+E4</f>
        <v>34</v>
      </c>
      <c r="G4" s="18"/>
      <c r="H4" s="18">
        <v>32</v>
      </c>
      <c r="I4" s="32">
        <f>F4-H4-J4</f>
        <v>2</v>
      </c>
    </row>
    <row r="5" spans="1:10" x14ac:dyDescent="0.2">
      <c r="A5" s="19" t="s">
        <v>101</v>
      </c>
      <c r="B5" s="18" t="s">
        <v>30</v>
      </c>
      <c r="C5" s="53">
        <v>18</v>
      </c>
      <c r="D5" s="46">
        <v>3</v>
      </c>
      <c r="E5" s="46">
        <v>0</v>
      </c>
      <c r="F5" s="17">
        <f t="shared" ref="F5:F13" si="1">((C5+D5)*2)+E5</f>
        <v>42</v>
      </c>
      <c r="G5" s="18"/>
      <c r="H5" s="18">
        <v>30</v>
      </c>
      <c r="I5" s="32">
        <f t="shared" ref="I5:I13" si="2">F5-H5-J5</f>
        <v>12</v>
      </c>
    </row>
    <row r="6" spans="1:10" x14ac:dyDescent="0.2">
      <c r="A6" s="19" t="s">
        <v>131</v>
      </c>
      <c r="B6" s="18" t="s">
        <v>97</v>
      </c>
      <c r="C6" s="53">
        <v>25</v>
      </c>
      <c r="D6" s="46">
        <v>2</v>
      </c>
      <c r="E6" s="46">
        <v>1</v>
      </c>
      <c r="F6" s="17">
        <f t="shared" si="1"/>
        <v>55</v>
      </c>
      <c r="G6" s="18"/>
      <c r="H6" s="18">
        <v>41</v>
      </c>
      <c r="I6" s="32">
        <f t="shared" si="2"/>
        <v>14</v>
      </c>
    </row>
    <row r="7" spans="1:10" x14ac:dyDescent="0.2">
      <c r="A7" s="19" t="s">
        <v>130</v>
      </c>
      <c r="B7" s="18" t="s">
        <v>160</v>
      </c>
      <c r="C7" s="53">
        <v>24</v>
      </c>
      <c r="D7" s="46">
        <v>0</v>
      </c>
      <c r="E7" s="46">
        <v>0</v>
      </c>
      <c r="F7" s="17">
        <f t="shared" si="1"/>
        <v>48</v>
      </c>
      <c r="G7" s="18"/>
      <c r="H7" s="18">
        <v>36</v>
      </c>
      <c r="I7" s="32">
        <f t="shared" si="2"/>
        <v>12</v>
      </c>
    </row>
    <row r="8" spans="1:10" x14ac:dyDescent="0.2">
      <c r="A8" s="19" t="s">
        <v>113</v>
      </c>
      <c r="B8" s="19" t="s">
        <v>58</v>
      </c>
      <c r="C8" s="46">
        <v>22</v>
      </c>
      <c r="D8" s="46">
        <v>3</v>
      </c>
      <c r="E8" s="46">
        <v>1</v>
      </c>
      <c r="F8" s="17">
        <f t="shared" si="1"/>
        <v>51</v>
      </c>
      <c r="G8" s="18"/>
      <c r="H8" s="18">
        <v>41</v>
      </c>
      <c r="I8" s="32">
        <f t="shared" si="2"/>
        <v>10</v>
      </c>
    </row>
    <row r="9" spans="1:10" x14ac:dyDescent="0.2">
      <c r="A9" s="19" t="s">
        <v>162</v>
      </c>
      <c r="B9" s="19" t="s">
        <v>163</v>
      </c>
      <c r="C9" s="46">
        <v>29</v>
      </c>
      <c r="D9" s="46">
        <v>1</v>
      </c>
      <c r="E9" s="46">
        <v>2</v>
      </c>
      <c r="F9" s="17">
        <f t="shared" si="1"/>
        <v>62</v>
      </c>
      <c r="G9" s="18"/>
      <c r="H9" s="18">
        <v>54</v>
      </c>
      <c r="I9" s="32">
        <f t="shared" si="2"/>
        <v>8</v>
      </c>
    </row>
    <row r="10" spans="1:10" x14ac:dyDescent="0.2">
      <c r="A10" s="19" t="s">
        <v>166</v>
      </c>
      <c r="B10" s="19" t="s">
        <v>52</v>
      </c>
      <c r="C10" s="46">
        <v>16</v>
      </c>
      <c r="D10" s="46">
        <v>2</v>
      </c>
      <c r="E10" s="46">
        <v>1</v>
      </c>
      <c r="F10" s="17">
        <f t="shared" si="1"/>
        <v>37</v>
      </c>
      <c r="G10" s="18"/>
      <c r="H10" s="18">
        <v>29</v>
      </c>
      <c r="I10" s="32">
        <f t="shared" si="2"/>
        <v>8</v>
      </c>
    </row>
    <row r="11" spans="1:10" x14ac:dyDescent="0.2">
      <c r="A11" s="19" t="s">
        <v>164</v>
      </c>
      <c r="B11" s="19" t="s">
        <v>165</v>
      </c>
      <c r="C11" s="46">
        <v>18</v>
      </c>
      <c r="D11" s="46">
        <v>0</v>
      </c>
      <c r="E11" s="46">
        <v>3</v>
      </c>
      <c r="F11" s="17">
        <f t="shared" si="1"/>
        <v>39</v>
      </c>
      <c r="G11" s="18"/>
      <c r="H11" s="18">
        <v>30</v>
      </c>
      <c r="I11" s="32">
        <f t="shared" si="2"/>
        <v>9</v>
      </c>
    </row>
    <row r="12" spans="1:10" x14ac:dyDescent="0.2">
      <c r="A12" s="19" t="s">
        <v>115</v>
      </c>
      <c r="B12" s="19" t="s">
        <v>63</v>
      </c>
      <c r="C12" s="46">
        <v>23</v>
      </c>
      <c r="D12" s="46">
        <v>4</v>
      </c>
      <c r="E12" s="46">
        <v>1</v>
      </c>
      <c r="F12" s="17">
        <f t="shared" si="1"/>
        <v>55</v>
      </c>
      <c r="G12" s="18"/>
      <c r="H12" s="18">
        <v>49</v>
      </c>
      <c r="I12" s="32">
        <f t="shared" si="2"/>
        <v>6</v>
      </c>
    </row>
    <row r="13" spans="1:10" x14ac:dyDescent="0.2">
      <c r="A13" s="19" t="s">
        <v>102</v>
      </c>
      <c r="B13" s="19" t="s">
        <v>16</v>
      </c>
      <c r="C13" s="46">
        <v>28</v>
      </c>
      <c r="D13" s="46">
        <v>2</v>
      </c>
      <c r="E13" s="46">
        <v>1</v>
      </c>
      <c r="F13" s="17">
        <f t="shared" si="1"/>
        <v>61</v>
      </c>
      <c r="G13" s="18"/>
      <c r="H13" s="18">
        <v>47</v>
      </c>
      <c r="I13" s="32">
        <f t="shared" si="2"/>
        <v>14</v>
      </c>
    </row>
    <row r="15" spans="1:10" x14ac:dyDescent="0.2">
      <c r="A15" s="21"/>
      <c r="B15" s="2"/>
      <c r="C15" s="1" t="s">
        <v>7</v>
      </c>
      <c r="D15" s="1" t="s">
        <v>7</v>
      </c>
      <c r="E15" s="1" t="s">
        <v>7</v>
      </c>
      <c r="F15" s="1"/>
    </row>
    <row r="16" spans="1:10" x14ac:dyDescent="0.2">
      <c r="A16" s="21" t="s">
        <v>15</v>
      </c>
      <c r="B16" s="2" t="s">
        <v>14</v>
      </c>
      <c r="C16" s="22" t="s">
        <v>129</v>
      </c>
      <c r="D16" s="22" t="s">
        <v>23</v>
      </c>
      <c r="E16" s="1" t="s">
        <v>116</v>
      </c>
      <c r="F16" s="22"/>
    </row>
    <row r="17" spans="1:9" x14ac:dyDescent="0.2">
      <c r="A17" s="19" t="s">
        <v>117</v>
      </c>
      <c r="B17" s="18" t="s">
        <v>29</v>
      </c>
      <c r="C17" s="47">
        <f t="shared" ref="C17:C63" si="3">D17-E17</f>
        <v>8</v>
      </c>
      <c r="D17" s="26">
        <v>72</v>
      </c>
      <c r="E17" s="18">
        <v>64</v>
      </c>
      <c r="F17" s="22"/>
    </row>
    <row r="18" spans="1:9" x14ac:dyDescent="0.2">
      <c r="A18" s="19" t="s">
        <v>187</v>
      </c>
      <c r="B18" s="18" t="s">
        <v>29</v>
      </c>
      <c r="C18" s="47">
        <f t="shared" si="3"/>
        <v>10</v>
      </c>
      <c r="D18" s="26">
        <v>43</v>
      </c>
      <c r="E18" s="18">
        <v>33</v>
      </c>
      <c r="F18" s="22" t="s">
        <v>196</v>
      </c>
    </row>
    <row r="19" spans="1:9" x14ac:dyDescent="0.2">
      <c r="A19" s="19" t="s">
        <v>114</v>
      </c>
      <c r="B19" s="18" t="s">
        <v>52</v>
      </c>
      <c r="C19" s="47">
        <f t="shared" si="3"/>
        <v>12</v>
      </c>
      <c r="D19" s="26">
        <v>65</v>
      </c>
      <c r="E19" s="18">
        <v>53</v>
      </c>
      <c r="F19" s="22"/>
    </row>
    <row r="20" spans="1:9" x14ac:dyDescent="0.2">
      <c r="A20" s="19" t="s">
        <v>188</v>
      </c>
      <c r="B20" s="18" t="s">
        <v>52</v>
      </c>
      <c r="C20" s="47">
        <f t="shared" si="3"/>
        <v>7</v>
      </c>
      <c r="D20" s="26">
        <v>35</v>
      </c>
      <c r="E20" s="18">
        <v>28</v>
      </c>
      <c r="F20" s="22" t="s">
        <v>196</v>
      </c>
    </row>
    <row r="21" spans="1:9" x14ac:dyDescent="0.2">
      <c r="A21" s="19" t="s">
        <v>53</v>
      </c>
      <c r="B21" s="18" t="s">
        <v>52</v>
      </c>
      <c r="C21" s="47">
        <f t="shared" si="3"/>
        <v>16</v>
      </c>
      <c r="D21" s="26">
        <v>53</v>
      </c>
      <c r="E21" s="18">
        <v>37</v>
      </c>
      <c r="F21" s="45"/>
    </row>
    <row r="22" spans="1:9" x14ac:dyDescent="0.2">
      <c r="A22" s="19" t="s">
        <v>179</v>
      </c>
      <c r="B22" s="18" t="s">
        <v>97</v>
      </c>
      <c r="C22" s="47">
        <f t="shared" si="3"/>
        <v>9</v>
      </c>
      <c r="D22" s="26">
        <v>61</v>
      </c>
      <c r="E22" s="18">
        <v>52</v>
      </c>
      <c r="F22" s="45"/>
    </row>
    <row r="23" spans="1:9" x14ac:dyDescent="0.2">
      <c r="A23" s="19" t="s">
        <v>180</v>
      </c>
      <c r="B23" s="18" t="s">
        <v>97</v>
      </c>
      <c r="C23" s="47">
        <f t="shared" si="3"/>
        <v>10</v>
      </c>
      <c r="D23" s="26">
        <v>42</v>
      </c>
      <c r="E23" s="18">
        <v>32</v>
      </c>
      <c r="F23" s="45" t="s">
        <v>196</v>
      </c>
    </row>
    <row r="24" spans="1:9" x14ac:dyDescent="0.2">
      <c r="A24" s="19" t="s">
        <v>181</v>
      </c>
      <c r="B24" s="18" t="s">
        <v>97</v>
      </c>
      <c r="C24" s="47">
        <f t="shared" si="3"/>
        <v>10</v>
      </c>
      <c r="D24" s="26">
        <v>53</v>
      </c>
      <c r="E24" s="18">
        <v>43</v>
      </c>
      <c r="F24" s="45"/>
    </row>
    <row r="25" spans="1:9" s="18" customFormat="1" x14ac:dyDescent="0.2">
      <c r="A25" s="19" t="s">
        <v>49</v>
      </c>
      <c r="B25" s="18" t="s">
        <v>30</v>
      </c>
      <c r="C25" s="47">
        <f t="shared" si="3"/>
        <v>9</v>
      </c>
      <c r="D25" s="26">
        <v>64</v>
      </c>
      <c r="E25">
        <v>55</v>
      </c>
    </row>
    <row r="26" spans="1:9" s="18" customFormat="1" x14ac:dyDescent="0.2">
      <c r="A26" s="19" t="s">
        <v>57</v>
      </c>
      <c r="B26" s="18" t="s">
        <v>30</v>
      </c>
      <c r="C26" s="47">
        <f t="shared" si="3"/>
        <v>13</v>
      </c>
      <c r="D26" s="26">
        <v>100</v>
      </c>
      <c r="E26">
        <v>87</v>
      </c>
    </row>
    <row r="27" spans="1:9" s="18" customFormat="1" x14ac:dyDescent="0.2">
      <c r="A27" s="19" t="s">
        <v>77</v>
      </c>
      <c r="B27" s="18" t="s">
        <v>78</v>
      </c>
      <c r="C27" s="47">
        <f t="shared" si="3"/>
        <v>10</v>
      </c>
      <c r="D27" s="26">
        <v>65</v>
      </c>
      <c r="E27">
        <v>55</v>
      </c>
    </row>
    <row r="28" spans="1:9" x14ac:dyDescent="0.2">
      <c r="A28" s="19" t="s">
        <v>79</v>
      </c>
      <c r="B28" s="18" t="s">
        <v>17</v>
      </c>
      <c r="C28" s="47">
        <f t="shared" si="3"/>
        <v>9</v>
      </c>
      <c r="D28" s="25">
        <v>65</v>
      </c>
      <c r="E28">
        <v>56</v>
      </c>
      <c r="F28" s="18"/>
      <c r="H28" s="18"/>
      <c r="I28" s="18"/>
    </row>
    <row r="29" spans="1:9" x14ac:dyDescent="0.2">
      <c r="A29" s="19" t="s">
        <v>99</v>
      </c>
      <c r="B29" s="18" t="s">
        <v>17</v>
      </c>
      <c r="C29" s="47">
        <f t="shared" ref="C29" si="4">D29-E29</f>
        <v>6</v>
      </c>
      <c r="D29" s="25">
        <v>69</v>
      </c>
      <c r="E29">
        <v>63</v>
      </c>
      <c r="F29" s="18"/>
      <c r="H29" s="18"/>
      <c r="I29" s="18"/>
    </row>
    <row r="30" spans="1:9" x14ac:dyDescent="0.2">
      <c r="A30" s="19" t="s">
        <v>96</v>
      </c>
      <c r="B30" s="18" t="s">
        <v>17</v>
      </c>
      <c r="C30" s="47">
        <f t="shared" si="3"/>
        <v>10</v>
      </c>
      <c r="D30" s="25">
        <v>50</v>
      </c>
      <c r="E30">
        <v>40</v>
      </c>
      <c r="F30" s="18"/>
    </row>
    <row r="31" spans="1:9" x14ac:dyDescent="0.2">
      <c r="A31" s="19" t="s">
        <v>176</v>
      </c>
      <c r="B31" s="18" t="s">
        <v>63</v>
      </c>
      <c r="C31" s="47">
        <f t="shared" si="3"/>
        <v>9</v>
      </c>
      <c r="D31" s="25">
        <v>62</v>
      </c>
      <c r="E31">
        <v>53</v>
      </c>
      <c r="F31" s="18"/>
    </row>
    <row r="32" spans="1:9" x14ac:dyDescent="0.2">
      <c r="A32" s="19" t="s">
        <v>31</v>
      </c>
      <c r="B32" s="18" t="s">
        <v>32</v>
      </c>
      <c r="C32" s="47">
        <f t="shared" si="3"/>
        <v>15</v>
      </c>
      <c r="D32" s="25">
        <v>105</v>
      </c>
      <c r="E32">
        <v>90</v>
      </c>
    </row>
    <row r="33" spans="1:6" x14ac:dyDescent="0.2">
      <c r="A33" s="19" t="s">
        <v>62</v>
      </c>
      <c r="B33" s="18" t="s">
        <v>32</v>
      </c>
      <c r="C33" s="47">
        <f t="shared" si="3"/>
        <v>16</v>
      </c>
      <c r="D33" s="25">
        <v>71</v>
      </c>
      <c r="E33">
        <v>55</v>
      </c>
    </row>
    <row r="34" spans="1:6" x14ac:dyDescent="0.2">
      <c r="A34" s="19" t="s">
        <v>80</v>
      </c>
      <c r="B34" s="18" t="s">
        <v>32</v>
      </c>
      <c r="C34" s="47">
        <f t="shared" si="3"/>
        <v>20</v>
      </c>
      <c r="D34" s="25">
        <v>90</v>
      </c>
      <c r="E34">
        <v>70</v>
      </c>
    </row>
    <row r="35" spans="1:6" x14ac:dyDescent="0.2">
      <c r="A35" s="19" t="s">
        <v>118</v>
      </c>
      <c r="B35" s="18" t="s">
        <v>32</v>
      </c>
      <c r="C35" s="47">
        <f t="shared" ref="C35:C36" si="5">D35-E35</f>
        <v>8</v>
      </c>
      <c r="D35" s="25">
        <v>41</v>
      </c>
      <c r="E35">
        <v>33</v>
      </c>
      <c r="F35" t="s">
        <v>196</v>
      </c>
    </row>
    <row r="36" spans="1:6" x14ac:dyDescent="0.2">
      <c r="A36" s="19" t="s">
        <v>172</v>
      </c>
      <c r="B36" s="18" t="s">
        <v>171</v>
      </c>
      <c r="C36" s="47">
        <f t="shared" si="5"/>
        <v>11</v>
      </c>
      <c r="D36" s="25">
        <v>14</v>
      </c>
      <c r="E36">
        <v>3</v>
      </c>
      <c r="F36" t="s">
        <v>196</v>
      </c>
    </row>
    <row r="37" spans="1:6" x14ac:dyDescent="0.2">
      <c r="A37" s="19" t="s">
        <v>86</v>
      </c>
      <c r="B37" s="18" t="s">
        <v>58</v>
      </c>
      <c r="C37" s="47">
        <f t="shared" si="3"/>
        <v>13</v>
      </c>
      <c r="D37" s="25">
        <v>61</v>
      </c>
      <c r="E37">
        <v>48</v>
      </c>
    </row>
    <row r="38" spans="1:6" x14ac:dyDescent="0.2">
      <c r="A38" s="19" t="s">
        <v>167</v>
      </c>
      <c r="B38" s="18" t="s">
        <v>58</v>
      </c>
      <c r="C38" s="47">
        <f t="shared" ref="C38" si="6">D38-E38</f>
        <v>11</v>
      </c>
      <c r="D38" s="25">
        <v>75</v>
      </c>
      <c r="E38">
        <v>64</v>
      </c>
    </row>
    <row r="39" spans="1:6" x14ac:dyDescent="0.2">
      <c r="A39" s="19" t="s">
        <v>82</v>
      </c>
      <c r="B39" s="18" t="s">
        <v>81</v>
      </c>
      <c r="C39" s="47">
        <f t="shared" si="3"/>
        <v>7</v>
      </c>
      <c r="D39" s="25">
        <v>60</v>
      </c>
      <c r="E39">
        <v>53</v>
      </c>
    </row>
    <row r="40" spans="1:6" x14ac:dyDescent="0.2">
      <c r="A40" s="19" t="s">
        <v>189</v>
      </c>
      <c r="B40" s="18" t="s">
        <v>81</v>
      </c>
      <c r="C40" s="47">
        <f t="shared" si="3"/>
        <v>10</v>
      </c>
      <c r="D40" s="25">
        <v>69</v>
      </c>
      <c r="E40">
        <v>59</v>
      </c>
    </row>
    <row r="41" spans="1:6" x14ac:dyDescent="0.2">
      <c r="A41" s="19" t="s">
        <v>190</v>
      </c>
      <c r="B41" s="18" t="s">
        <v>81</v>
      </c>
      <c r="C41" s="47">
        <f t="shared" si="3"/>
        <v>7</v>
      </c>
      <c r="D41" s="25">
        <v>60</v>
      </c>
      <c r="E41">
        <v>53</v>
      </c>
    </row>
    <row r="42" spans="1:6" x14ac:dyDescent="0.2">
      <c r="A42" s="19" t="s">
        <v>169</v>
      </c>
      <c r="B42" s="18" t="s">
        <v>170</v>
      </c>
      <c r="C42" s="47">
        <f t="shared" si="3"/>
        <v>11</v>
      </c>
      <c r="D42" s="25">
        <v>41</v>
      </c>
      <c r="E42">
        <v>30</v>
      </c>
      <c r="F42" t="s">
        <v>196</v>
      </c>
    </row>
    <row r="43" spans="1:6" x14ac:dyDescent="0.2">
      <c r="A43" s="19" t="s">
        <v>122</v>
      </c>
      <c r="B43" s="18" t="s">
        <v>64</v>
      </c>
      <c r="C43" s="47">
        <f t="shared" si="3"/>
        <v>9</v>
      </c>
      <c r="D43" s="25">
        <v>41</v>
      </c>
      <c r="E43">
        <v>32</v>
      </c>
      <c r="F43" t="s">
        <v>196</v>
      </c>
    </row>
    <row r="44" spans="1:6" x14ac:dyDescent="0.2">
      <c r="A44" s="19" t="s">
        <v>119</v>
      </c>
      <c r="B44" s="18" t="s">
        <v>198</v>
      </c>
      <c r="C44" s="47">
        <f t="shared" si="3"/>
        <v>6</v>
      </c>
      <c r="D44" s="25">
        <v>62</v>
      </c>
      <c r="E44">
        <v>56</v>
      </c>
    </row>
    <row r="45" spans="1:6" x14ac:dyDescent="0.2">
      <c r="A45" s="19" t="s">
        <v>191</v>
      </c>
      <c r="B45" s="18" t="s">
        <v>50</v>
      </c>
      <c r="C45" s="47">
        <f t="shared" si="3"/>
        <v>8</v>
      </c>
      <c r="D45" s="25">
        <v>56</v>
      </c>
      <c r="E45">
        <v>48</v>
      </c>
    </row>
    <row r="46" spans="1:6" x14ac:dyDescent="0.2">
      <c r="A46" s="19" t="s">
        <v>178</v>
      </c>
      <c r="B46" s="18" t="s">
        <v>177</v>
      </c>
      <c r="C46" s="47">
        <f t="shared" si="3"/>
        <v>7</v>
      </c>
      <c r="D46" s="25">
        <v>48</v>
      </c>
      <c r="E46">
        <v>41</v>
      </c>
    </row>
    <row r="47" spans="1:6" x14ac:dyDescent="0.2">
      <c r="A47" s="19" t="s">
        <v>185</v>
      </c>
      <c r="B47" s="18" t="s">
        <v>184</v>
      </c>
      <c r="C47" s="47">
        <f t="shared" si="3"/>
        <v>8</v>
      </c>
      <c r="D47" s="25">
        <v>47</v>
      </c>
      <c r="E47">
        <v>39</v>
      </c>
    </row>
    <row r="48" spans="1:6" x14ac:dyDescent="0.2">
      <c r="A48" s="19" t="s">
        <v>186</v>
      </c>
      <c r="B48" s="18" t="s">
        <v>184</v>
      </c>
      <c r="C48" s="47">
        <f t="shared" si="3"/>
        <v>2</v>
      </c>
      <c r="D48" s="25">
        <v>59</v>
      </c>
      <c r="E48">
        <v>57</v>
      </c>
    </row>
    <row r="49" spans="1:6" x14ac:dyDescent="0.2">
      <c r="A49" s="19" t="s">
        <v>84</v>
      </c>
      <c r="B49" s="18" t="s">
        <v>76</v>
      </c>
      <c r="C49" s="47">
        <f t="shared" si="3"/>
        <v>13</v>
      </c>
      <c r="D49" s="25">
        <v>87</v>
      </c>
      <c r="E49">
        <v>74</v>
      </c>
    </row>
    <row r="50" spans="1:6" x14ac:dyDescent="0.2">
      <c r="A50" s="19" t="s">
        <v>95</v>
      </c>
      <c r="B50" s="18" t="s">
        <v>16</v>
      </c>
      <c r="C50" s="47">
        <f t="shared" si="3"/>
        <v>12</v>
      </c>
      <c r="D50" s="25">
        <v>55</v>
      </c>
      <c r="E50">
        <v>43</v>
      </c>
    </row>
    <row r="51" spans="1:6" x14ac:dyDescent="0.2">
      <c r="A51" s="19" t="s">
        <v>168</v>
      </c>
      <c r="B51" s="18" t="s">
        <v>16</v>
      </c>
      <c r="C51" s="47">
        <f t="shared" si="3"/>
        <v>6</v>
      </c>
      <c r="D51" s="25">
        <v>55</v>
      </c>
      <c r="E51">
        <v>49</v>
      </c>
    </row>
    <row r="52" spans="1:6" x14ac:dyDescent="0.2">
      <c r="A52" s="19" t="s">
        <v>83</v>
      </c>
      <c r="B52" s="18" t="s">
        <v>16</v>
      </c>
      <c r="C52" s="47">
        <f t="shared" si="3"/>
        <v>18</v>
      </c>
      <c r="D52" s="25">
        <v>96</v>
      </c>
      <c r="E52">
        <v>78</v>
      </c>
    </row>
    <row r="53" spans="1:6" x14ac:dyDescent="0.2">
      <c r="A53" s="19" t="s">
        <v>173</v>
      </c>
      <c r="B53" s="18" t="s">
        <v>18</v>
      </c>
      <c r="C53" s="47">
        <f t="shared" si="3"/>
        <v>10</v>
      </c>
      <c r="D53" s="25">
        <v>52</v>
      </c>
      <c r="E53">
        <v>42</v>
      </c>
    </row>
    <row r="54" spans="1:6" x14ac:dyDescent="0.2">
      <c r="A54" s="19" t="s">
        <v>182</v>
      </c>
      <c r="B54" s="18" t="s">
        <v>163</v>
      </c>
      <c r="C54" s="47">
        <f t="shared" si="3"/>
        <v>11</v>
      </c>
      <c r="D54" s="25">
        <v>61</v>
      </c>
      <c r="E54">
        <v>50</v>
      </c>
    </row>
    <row r="55" spans="1:6" x14ac:dyDescent="0.2">
      <c r="A55" s="19" t="s">
        <v>183</v>
      </c>
      <c r="B55" s="18" t="s">
        <v>163</v>
      </c>
      <c r="C55" s="47">
        <f t="shared" si="3"/>
        <v>6</v>
      </c>
      <c r="D55" s="25">
        <v>42</v>
      </c>
      <c r="E55">
        <v>36</v>
      </c>
    </row>
    <row r="56" spans="1:6" x14ac:dyDescent="0.2">
      <c r="A56" s="19" t="s">
        <v>174</v>
      </c>
      <c r="B56" s="18" t="s">
        <v>47</v>
      </c>
      <c r="C56" s="47">
        <f t="shared" si="3"/>
        <v>3</v>
      </c>
      <c r="D56" s="25">
        <v>29</v>
      </c>
      <c r="E56">
        <v>26</v>
      </c>
      <c r="F56" t="s">
        <v>196</v>
      </c>
    </row>
    <row r="57" spans="1:6" x14ac:dyDescent="0.2">
      <c r="A57" s="19" t="s">
        <v>175</v>
      </c>
      <c r="B57" s="18" t="s">
        <v>47</v>
      </c>
      <c r="C57" s="47">
        <f t="shared" si="3"/>
        <v>8</v>
      </c>
      <c r="D57" s="25">
        <v>69</v>
      </c>
      <c r="E57">
        <v>61</v>
      </c>
    </row>
    <row r="58" spans="1:6" x14ac:dyDescent="0.2">
      <c r="A58" s="19" t="s">
        <v>120</v>
      </c>
      <c r="B58" s="18" t="s">
        <v>47</v>
      </c>
      <c r="C58" s="47">
        <f t="shared" si="3"/>
        <v>10</v>
      </c>
      <c r="D58" s="25">
        <v>62</v>
      </c>
      <c r="E58">
        <v>52</v>
      </c>
    </row>
    <row r="59" spans="1:6" x14ac:dyDescent="0.2">
      <c r="A59" s="19" t="s">
        <v>100</v>
      </c>
      <c r="B59" s="18" t="s">
        <v>47</v>
      </c>
      <c r="C59" s="47">
        <f t="shared" ref="C59" si="7">D59-E59</f>
        <v>8</v>
      </c>
      <c r="D59" s="25">
        <v>60</v>
      </c>
      <c r="E59">
        <v>52</v>
      </c>
    </row>
    <row r="60" spans="1:6" x14ac:dyDescent="0.2">
      <c r="A60" s="19" t="s">
        <v>98</v>
      </c>
      <c r="B60" s="18" t="s">
        <v>87</v>
      </c>
      <c r="C60" s="47">
        <f t="shared" ref="C60:C61" si="8">D60-E60</f>
        <v>3</v>
      </c>
      <c r="D60" s="25">
        <v>46</v>
      </c>
      <c r="E60">
        <v>43</v>
      </c>
    </row>
    <row r="61" spans="1:6" x14ac:dyDescent="0.2">
      <c r="A61" s="19" t="s">
        <v>121</v>
      </c>
      <c r="B61" s="18" t="s">
        <v>28</v>
      </c>
      <c r="C61" s="47">
        <f t="shared" si="8"/>
        <v>12</v>
      </c>
      <c r="D61" s="25">
        <v>70</v>
      </c>
      <c r="E61">
        <v>58</v>
      </c>
      <c r="F61" t="s">
        <v>197</v>
      </c>
    </row>
    <row r="62" spans="1:6" x14ac:dyDescent="0.2">
      <c r="A62" s="19" t="s">
        <v>65</v>
      </c>
      <c r="B62" s="18" t="s">
        <v>28</v>
      </c>
      <c r="C62" s="47">
        <f t="shared" si="3"/>
        <v>0</v>
      </c>
      <c r="D62" s="25">
        <v>42</v>
      </c>
      <c r="E62">
        <v>42</v>
      </c>
    </row>
    <row r="63" spans="1:6" x14ac:dyDescent="0.2">
      <c r="A63" s="19" t="s">
        <v>85</v>
      </c>
      <c r="B63" s="18" t="s">
        <v>28</v>
      </c>
      <c r="C63" s="47">
        <f t="shared" si="3"/>
        <v>14</v>
      </c>
      <c r="D63" s="25">
        <v>75</v>
      </c>
      <c r="E63">
        <v>61</v>
      </c>
    </row>
    <row r="65" spans="1:1" x14ac:dyDescent="0.2">
      <c r="A65" s="16"/>
    </row>
    <row r="66" spans="1:1" x14ac:dyDescent="0.2">
      <c r="A66" s="16"/>
    </row>
    <row r="67" spans="1:1" x14ac:dyDescent="0.2">
      <c r="A67" s="16"/>
    </row>
  </sheetData>
  <sortState xmlns:xlrd2="http://schemas.microsoft.com/office/spreadsheetml/2017/richdata2" ref="A21:G63">
    <sortCondition ref="B21:B6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58E2-C7CC-4DE1-90FF-62464C1B9BCE}">
  <dimension ref="A1:J22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14.5" customWidth="1"/>
    <col min="2" max="5" width="12.6640625" customWidth="1"/>
    <col min="6" max="6" width="8.83203125" customWidth="1"/>
    <col min="7" max="10" width="12.6640625" customWidth="1"/>
  </cols>
  <sheetData>
    <row r="1" spans="1:10" x14ac:dyDescent="0.2">
      <c r="B1" s="1" t="s">
        <v>44</v>
      </c>
      <c r="C1" s="1" t="s">
        <v>44</v>
      </c>
      <c r="D1" s="1" t="s">
        <v>44</v>
      </c>
      <c r="E1" s="1" t="s">
        <v>44</v>
      </c>
      <c r="G1" s="1" t="s">
        <v>45</v>
      </c>
      <c r="H1" s="1" t="s">
        <v>45</v>
      </c>
      <c r="I1" s="1" t="s">
        <v>45</v>
      </c>
      <c r="J1" s="1" t="s">
        <v>45</v>
      </c>
    </row>
    <row r="2" spans="1:10" x14ac:dyDescent="0.2">
      <c r="B2" s="1" t="s">
        <v>42</v>
      </c>
      <c r="C2" s="1" t="s">
        <v>43</v>
      </c>
      <c r="D2" s="1" t="s">
        <v>42</v>
      </c>
      <c r="E2" s="1" t="s">
        <v>43</v>
      </c>
      <c r="G2" s="1" t="s">
        <v>42</v>
      </c>
      <c r="H2" s="1" t="s">
        <v>43</v>
      </c>
      <c r="I2" s="1" t="s">
        <v>42</v>
      </c>
      <c r="J2" s="1" t="s">
        <v>43</v>
      </c>
    </row>
    <row r="3" spans="1:10" x14ac:dyDescent="0.2">
      <c r="A3" t="s">
        <v>25</v>
      </c>
      <c r="B3" s="33"/>
      <c r="C3" s="33"/>
      <c r="D3" s="33"/>
      <c r="E3" s="33"/>
      <c r="G3" s="33"/>
      <c r="H3" s="33"/>
      <c r="I3" s="33"/>
      <c r="J3" s="33"/>
    </row>
    <row r="4" spans="1:10" x14ac:dyDescent="0.2">
      <c r="A4" t="s">
        <v>9</v>
      </c>
      <c r="B4" s="33"/>
      <c r="C4" s="33"/>
      <c r="D4" s="33"/>
      <c r="E4" s="33"/>
      <c r="G4" s="33"/>
      <c r="H4" s="33"/>
      <c r="I4" s="33"/>
      <c r="J4" s="33"/>
    </row>
    <row r="5" spans="1:10" x14ac:dyDescent="0.2">
      <c r="A5" t="s">
        <v>24</v>
      </c>
      <c r="B5" s="33"/>
      <c r="C5" s="33"/>
      <c r="D5" s="33"/>
      <c r="E5" s="33"/>
      <c r="G5" s="33"/>
      <c r="H5" s="33"/>
      <c r="I5" s="33"/>
      <c r="J5" s="33"/>
    </row>
    <row r="6" spans="1:10" x14ac:dyDescent="0.2">
      <c r="A6" t="s">
        <v>11</v>
      </c>
      <c r="B6" s="33"/>
      <c r="C6" s="33"/>
      <c r="D6" s="33"/>
      <c r="E6" s="33"/>
      <c r="G6" s="33"/>
      <c r="H6" s="33"/>
      <c r="I6" s="33"/>
      <c r="J6" s="33"/>
    </row>
    <row r="7" spans="1:10" x14ac:dyDescent="0.2">
      <c r="A7" t="s">
        <v>10</v>
      </c>
      <c r="B7" s="33"/>
      <c r="C7" s="33"/>
      <c r="D7" s="33"/>
      <c r="E7" s="33"/>
      <c r="G7" s="33"/>
      <c r="H7" s="33"/>
      <c r="I7" s="33"/>
      <c r="J7" s="33"/>
    </row>
    <row r="8" spans="1:10" x14ac:dyDescent="0.2">
      <c r="A8" t="s">
        <v>26</v>
      </c>
      <c r="B8" s="33"/>
      <c r="C8" s="33"/>
      <c r="D8" s="33"/>
      <c r="E8" s="33"/>
      <c r="G8" s="33"/>
      <c r="H8" s="33"/>
      <c r="I8" s="33"/>
      <c r="J8" s="33"/>
    </row>
    <row r="9" spans="1:10" x14ac:dyDescent="0.2">
      <c r="A9" t="s">
        <v>8</v>
      </c>
      <c r="B9" s="33"/>
      <c r="C9" s="33"/>
      <c r="D9" s="33"/>
      <c r="E9" s="33"/>
      <c r="G9" s="33"/>
      <c r="H9" s="33"/>
      <c r="I9" s="33"/>
      <c r="J9" s="33"/>
    </row>
    <row r="10" spans="1:10" x14ac:dyDescent="0.2">
      <c r="A10" t="s">
        <v>27</v>
      </c>
      <c r="B10" s="33"/>
      <c r="C10" s="33"/>
      <c r="D10" s="33"/>
      <c r="E10" s="33"/>
      <c r="G10" s="33"/>
      <c r="H10" s="33"/>
      <c r="I10" s="33"/>
      <c r="J10" s="33"/>
    </row>
    <row r="11" spans="1:10" x14ac:dyDescent="0.2">
      <c r="B11" s="33"/>
      <c r="C11" s="33"/>
      <c r="D11" s="33"/>
      <c r="E11" s="33"/>
      <c r="G11" s="33"/>
      <c r="H11" s="33"/>
      <c r="I11" s="33"/>
      <c r="J11" s="33"/>
    </row>
    <row r="12" spans="1:10" x14ac:dyDescent="0.2">
      <c r="B12" s="33"/>
      <c r="C12" s="33"/>
      <c r="D12" s="33"/>
      <c r="E12" s="33"/>
      <c r="G12" s="33"/>
      <c r="H12" s="33"/>
      <c r="I12" s="33"/>
      <c r="J12" s="33"/>
    </row>
    <row r="13" spans="1:10" x14ac:dyDescent="0.2">
      <c r="B13" s="33"/>
      <c r="C13" s="33"/>
      <c r="D13" s="33"/>
      <c r="E13" s="33"/>
      <c r="G13" s="33"/>
      <c r="H13" s="33"/>
      <c r="I13" s="33"/>
      <c r="J13" s="33"/>
    </row>
    <row r="14" spans="1:10" x14ac:dyDescent="0.2">
      <c r="B14" s="33"/>
      <c r="C14" s="33"/>
      <c r="D14" s="33"/>
      <c r="E14" s="33"/>
      <c r="G14" s="33"/>
      <c r="H14" s="33"/>
      <c r="I14" s="33"/>
      <c r="J14" s="33"/>
    </row>
    <row r="15" spans="1:10" x14ac:dyDescent="0.2">
      <c r="B15" s="33"/>
      <c r="C15" s="33"/>
      <c r="D15" s="33"/>
      <c r="E15" s="33"/>
      <c r="G15" s="33"/>
      <c r="H15" s="33"/>
      <c r="I15" s="33"/>
      <c r="J15" s="33"/>
    </row>
    <row r="16" spans="1:10" x14ac:dyDescent="0.2">
      <c r="B16" s="33"/>
      <c r="C16" s="33"/>
      <c r="D16" s="33"/>
      <c r="E16" s="33"/>
      <c r="G16" s="33"/>
      <c r="H16" s="33"/>
      <c r="I16" s="33"/>
      <c r="J16" s="33"/>
    </row>
    <row r="17" spans="2:10" x14ac:dyDescent="0.2">
      <c r="B17" s="33"/>
      <c r="C17" s="33"/>
      <c r="D17" s="33"/>
      <c r="E17" s="33"/>
      <c r="G17" s="33"/>
      <c r="H17" s="33"/>
      <c r="I17" s="33"/>
      <c r="J17" s="33"/>
    </row>
    <row r="18" spans="2:10" x14ac:dyDescent="0.2">
      <c r="B18" s="33"/>
      <c r="C18" s="33"/>
      <c r="D18" s="33"/>
      <c r="E18" s="33"/>
      <c r="G18" s="33"/>
      <c r="H18" s="33"/>
      <c r="I18" s="33"/>
      <c r="J18" s="33"/>
    </row>
    <row r="19" spans="2:10" x14ac:dyDescent="0.2">
      <c r="B19" s="33"/>
      <c r="C19" s="33"/>
      <c r="D19" s="33"/>
      <c r="E19" s="33"/>
      <c r="G19" s="33"/>
      <c r="H19" s="33"/>
      <c r="I19" s="33"/>
      <c r="J19" s="33"/>
    </row>
    <row r="20" spans="2:10" x14ac:dyDescent="0.2">
      <c r="B20" s="33"/>
      <c r="C20" s="33"/>
      <c r="D20" s="33"/>
      <c r="E20" s="33"/>
      <c r="G20" s="33"/>
      <c r="H20" s="33"/>
      <c r="I20" s="33"/>
      <c r="J20" s="33"/>
    </row>
    <row r="21" spans="2:10" x14ac:dyDescent="0.2">
      <c r="B21" s="33"/>
      <c r="C21" s="33"/>
      <c r="D21" s="33"/>
      <c r="E21" s="33"/>
      <c r="G21" s="33"/>
      <c r="H21" s="33"/>
      <c r="I21" s="33"/>
      <c r="J21" s="33"/>
    </row>
    <row r="22" spans="2:10" x14ac:dyDescent="0.2">
      <c r="B22" s="33"/>
      <c r="C22" s="33"/>
      <c r="D22" s="33"/>
      <c r="E22" s="33"/>
      <c r="G22" s="33"/>
      <c r="H22" s="33"/>
      <c r="I22" s="33"/>
      <c r="J22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5"/>
  <sheetViews>
    <sheetView topLeftCell="B1" zoomScale="115" zoomScaleNormal="115" workbookViewId="0">
      <selection activeCell="E14" sqref="E14"/>
    </sheetView>
  </sheetViews>
  <sheetFormatPr baseColWidth="10" defaultColWidth="8.83203125" defaultRowHeight="15" x14ac:dyDescent="0.2"/>
  <cols>
    <col min="1" max="1" width="13" style="9" customWidth="1"/>
    <col min="2" max="2" width="16.33203125" style="7" bestFit="1" customWidth="1"/>
    <col min="3" max="3" width="6.6640625" style="8" customWidth="1"/>
    <col min="4" max="4" width="16.5" style="7" bestFit="1" customWidth="1"/>
    <col min="5" max="5" width="6.5" style="8" customWidth="1"/>
    <col min="6" max="6" width="17.83203125" style="7" bestFit="1" customWidth="1"/>
    <col min="7" max="7" width="7.6640625" style="8" customWidth="1"/>
    <col min="8" max="8" width="16.5" style="7" bestFit="1" customWidth="1"/>
    <col min="9" max="9" width="6.6640625" style="8" customWidth="1"/>
    <col min="10" max="10" width="17.83203125" style="19" bestFit="1" customWidth="1"/>
    <col min="11" max="11" width="7.33203125" style="41" customWidth="1"/>
    <col min="12" max="12" width="16.5" style="19" bestFit="1" customWidth="1"/>
    <col min="13" max="13" width="6.6640625" style="41" customWidth="1"/>
    <col min="14" max="14" width="16.33203125" style="19" bestFit="1" customWidth="1"/>
    <col min="15" max="15" width="7.1640625" style="41" customWidth="1"/>
    <col min="16" max="16384" width="8.83203125" style="9"/>
  </cols>
  <sheetData>
    <row r="1" spans="1:15" ht="16" x14ac:dyDescent="0.2">
      <c r="A1" s="20" t="s">
        <v>103</v>
      </c>
    </row>
    <row r="2" spans="1:15" ht="7.25" customHeight="1" thickBot="1" x14ac:dyDescent="0.25"/>
    <row r="3" spans="1:15" x14ac:dyDescent="0.2">
      <c r="B3" s="36" t="s">
        <v>68</v>
      </c>
      <c r="C3" s="37" t="s">
        <v>68</v>
      </c>
      <c r="D3" s="36" t="s">
        <v>24</v>
      </c>
      <c r="E3" s="37" t="s">
        <v>24</v>
      </c>
      <c r="F3" s="36" t="s">
        <v>8</v>
      </c>
      <c r="G3" s="37" t="s">
        <v>8</v>
      </c>
      <c r="H3" s="36" t="s">
        <v>9</v>
      </c>
      <c r="I3" s="37" t="s">
        <v>9</v>
      </c>
      <c r="J3" s="36" t="s">
        <v>10</v>
      </c>
      <c r="K3" s="37" t="s">
        <v>10</v>
      </c>
      <c r="L3" s="36" t="s">
        <v>27</v>
      </c>
      <c r="M3" s="37" t="s">
        <v>27</v>
      </c>
      <c r="N3" s="36" t="s">
        <v>26</v>
      </c>
      <c r="O3" s="37" t="s">
        <v>26</v>
      </c>
    </row>
    <row r="4" spans="1:15" x14ac:dyDescent="0.2">
      <c r="B4" s="38" t="s">
        <v>6</v>
      </c>
      <c r="C4" s="39" t="s">
        <v>7</v>
      </c>
      <c r="D4" s="38" t="s">
        <v>6</v>
      </c>
      <c r="E4" s="39" t="s">
        <v>7</v>
      </c>
      <c r="F4" s="38" t="s">
        <v>6</v>
      </c>
      <c r="G4" s="39" t="s">
        <v>7</v>
      </c>
      <c r="H4" s="38" t="s">
        <v>6</v>
      </c>
      <c r="I4" s="39" t="s">
        <v>7</v>
      </c>
      <c r="J4" s="38" t="s">
        <v>6</v>
      </c>
      <c r="K4" s="39" t="s">
        <v>7</v>
      </c>
      <c r="L4" s="38" t="s">
        <v>6</v>
      </c>
      <c r="M4" s="39" t="s">
        <v>7</v>
      </c>
      <c r="N4" s="38" t="s">
        <v>6</v>
      </c>
      <c r="O4" s="39" t="s">
        <v>7</v>
      </c>
    </row>
    <row r="5" spans="1:15" ht="8" customHeight="1" x14ac:dyDescent="0.2">
      <c r="B5" s="10"/>
      <c r="C5" s="11"/>
      <c r="D5" s="10"/>
      <c r="E5" s="11"/>
      <c r="F5" s="10"/>
      <c r="G5" s="11"/>
      <c r="H5" s="10"/>
      <c r="I5" s="11"/>
      <c r="J5" s="38"/>
      <c r="K5" s="39"/>
      <c r="L5" s="38"/>
      <c r="M5" s="39"/>
      <c r="N5" s="38"/>
      <c r="O5" s="39"/>
    </row>
    <row r="6" spans="1:15" x14ac:dyDescent="0.2">
      <c r="A6" s="9" t="s">
        <v>0</v>
      </c>
      <c r="B6" s="15" t="s">
        <v>132</v>
      </c>
      <c r="C6" s="42">
        <f>Spelarna!I6</f>
        <v>14</v>
      </c>
      <c r="D6" s="15" t="s">
        <v>111</v>
      </c>
      <c r="E6" s="42">
        <f>Spelarna!I8</f>
        <v>10</v>
      </c>
      <c r="F6" s="15" t="s">
        <v>132</v>
      </c>
      <c r="G6" s="42">
        <f>Spelarna!I6</f>
        <v>14</v>
      </c>
      <c r="H6" s="15" t="s">
        <v>132</v>
      </c>
      <c r="I6" s="42">
        <f>Spelarna!I6</f>
        <v>14</v>
      </c>
      <c r="J6" s="15" t="s">
        <v>155</v>
      </c>
      <c r="K6" s="42">
        <f>Spelarna!I9</f>
        <v>8</v>
      </c>
      <c r="L6" s="15" t="s">
        <v>145</v>
      </c>
      <c r="M6" s="42">
        <f>Spelarna!I10</f>
        <v>8</v>
      </c>
      <c r="N6" s="15" t="s">
        <v>132</v>
      </c>
      <c r="O6" s="42">
        <f>Spelarna!I6</f>
        <v>14</v>
      </c>
    </row>
    <row r="7" spans="1:15" x14ac:dyDescent="0.2">
      <c r="A7" s="9" t="s">
        <v>0</v>
      </c>
      <c r="B7" s="15" t="s">
        <v>159</v>
      </c>
      <c r="C7" s="42">
        <f>Spelarna!I7</f>
        <v>12</v>
      </c>
      <c r="D7" s="15" t="s">
        <v>90</v>
      </c>
      <c r="E7" s="42">
        <f>Spelarna!I5</f>
        <v>12</v>
      </c>
      <c r="F7" s="15" t="s">
        <v>94</v>
      </c>
      <c r="G7" s="42">
        <f>Spelarna!I13</f>
        <v>14</v>
      </c>
      <c r="H7" s="15" t="s">
        <v>140</v>
      </c>
      <c r="I7" s="42">
        <f>Spelarna!I4</f>
        <v>2</v>
      </c>
      <c r="J7" s="15" t="s">
        <v>156</v>
      </c>
      <c r="K7" s="42">
        <f>Spelarna!I11</f>
        <v>9</v>
      </c>
      <c r="L7" s="15" t="s">
        <v>107</v>
      </c>
      <c r="M7" s="42">
        <f>Spelarna!I12</f>
        <v>6</v>
      </c>
      <c r="N7" s="15" t="s">
        <v>107</v>
      </c>
      <c r="O7" s="42">
        <f>Spelarna!I12</f>
        <v>6</v>
      </c>
    </row>
    <row r="8" spans="1:15" ht="8" customHeight="1" x14ac:dyDescent="0.2">
      <c r="B8" s="38"/>
      <c r="C8" s="39"/>
      <c r="D8" s="38"/>
      <c r="E8" s="39"/>
      <c r="F8" s="38"/>
      <c r="G8" s="39"/>
      <c r="H8" s="38"/>
      <c r="I8" s="39"/>
      <c r="J8" s="38"/>
      <c r="K8" s="39"/>
      <c r="L8" s="38"/>
      <c r="M8" s="39"/>
      <c r="N8" s="38"/>
      <c r="O8" s="39"/>
    </row>
    <row r="9" spans="1:15" x14ac:dyDescent="0.2">
      <c r="A9" s="9" t="s">
        <v>4</v>
      </c>
      <c r="B9" s="15"/>
      <c r="C9" s="42"/>
      <c r="D9" s="15"/>
      <c r="E9" s="42"/>
      <c r="F9" s="15"/>
      <c r="G9" s="42"/>
      <c r="H9" s="15"/>
      <c r="I9" s="42"/>
      <c r="J9" s="15"/>
      <c r="K9" s="42"/>
      <c r="L9" s="15"/>
      <c r="M9" s="42"/>
      <c r="N9" s="15"/>
      <c r="O9" s="42"/>
    </row>
    <row r="10" spans="1:15" x14ac:dyDescent="0.2">
      <c r="A10" s="9" t="s">
        <v>1</v>
      </c>
      <c r="B10" s="15" t="s">
        <v>104</v>
      </c>
      <c r="C10" s="42">
        <f>Spelarna!C37</f>
        <v>13</v>
      </c>
      <c r="D10" s="51" t="s">
        <v>149</v>
      </c>
      <c r="E10" s="42">
        <f>Spelarna!C56</f>
        <v>3</v>
      </c>
      <c r="F10" s="51" t="s">
        <v>133</v>
      </c>
      <c r="G10" s="42">
        <f>Spelarna!C23</f>
        <v>10</v>
      </c>
      <c r="H10" s="51" t="s">
        <v>148</v>
      </c>
      <c r="I10" s="42">
        <f>Spelarna!C18</f>
        <v>10</v>
      </c>
      <c r="J10" s="15" t="s">
        <v>93</v>
      </c>
      <c r="K10" s="42">
        <f>Spelarna!C30</f>
        <v>10</v>
      </c>
      <c r="L10" s="51" t="s">
        <v>147</v>
      </c>
      <c r="M10" s="42">
        <f>Spelarna!C20</f>
        <v>7</v>
      </c>
      <c r="N10" s="51" t="s">
        <v>148</v>
      </c>
      <c r="O10" s="42">
        <f>Spelarna!C18</f>
        <v>10</v>
      </c>
    </row>
    <row r="11" spans="1:15" x14ac:dyDescent="0.2">
      <c r="A11" s="9" t="s">
        <v>1</v>
      </c>
      <c r="B11" s="15" t="s">
        <v>61</v>
      </c>
      <c r="C11" s="42">
        <f>Spelarna!C25</f>
        <v>9</v>
      </c>
      <c r="D11" s="15" t="s">
        <v>75</v>
      </c>
      <c r="E11" s="42">
        <f>Spelarna!C39</f>
        <v>7</v>
      </c>
      <c r="F11" s="51" t="s">
        <v>134</v>
      </c>
      <c r="G11" s="42">
        <f>Spelarna!C55</f>
        <v>6</v>
      </c>
      <c r="H11" s="15" t="s">
        <v>89</v>
      </c>
      <c r="I11" s="42">
        <f>Spelarna!C60</f>
        <v>3</v>
      </c>
      <c r="J11" s="15" t="s">
        <v>60</v>
      </c>
      <c r="K11" s="42">
        <f>Spelarna!C62</f>
        <v>0</v>
      </c>
      <c r="L11" s="51" t="s">
        <v>148</v>
      </c>
      <c r="M11" s="42">
        <f>Spelarna!C18</f>
        <v>10</v>
      </c>
      <c r="N11" s="15" t="s">
        <v>73</v>
      </c>
      <c r="O11" s="42">
        <f>Spelarna!C27</f>
        <v>10</v>
      </c>
    </row>
    <row r="12" spans="1:15" x14ac:dyDescent="0.2">
      <c r="A12" s="9" t="s">
        <v>2</v>
      </c>
      <c r="B12" s="51" t="s">
        <v>157</v>
      </c>
      <c r="C12" s="42">
        <f>Spelarna!C38</f>
        <v>11</v>
      </c>
      <c r="D12" s="15" t="s">
        <v>88</v>
      </c>
      <c r="E12" s="42">
        <f>Spelarna!C29</f>
        <v>6</v>
      </c>
      <c r="F12" s="15" t="s">
        <v>72</v>
      </c>
      <c r="G12" s="42">
        <f>Spelarna!C52</f>
        <v>18</v>
      </c>
      <c r="H12" s="51" t="s">
        <v>143</v>
      </c>
      <c r="I12" s="42">
        <f>Spelarna!C19</f>
        <v>12</v>
      </c>
      <c r="J12" s="15" t="s">
        <v>110</v>
      </c>
      <c r="K12" s="42">
        <f>Spelarna!C44</f>
        <v>6</v>
      </c>
      <c r="L12" s="15" t="s">
        <v>74</v>
      </c>
      <c r="M12" s="42">
        <f>Spelarna!C49</f>
        <v>13</v>
      </c>
      <c r="N12" s="15" t="s">
        <v>69</v>
      </c>
      <c r="O12" s="42">
        <f>Spelarna!C34</f>
        <v>20</v>
      </c>
    </row>
    <row r="13" spans="1:15" x14ac:dyDescent="0.2">
      <c r="A13" s="9" t="s">
        <v>2</v>
      </c>
      <c r="B13" s="15" t="s">
        <v>105</v>
      </c>
      <c r="C13" s="42">
        <f>Spelarna!C58</f>
        <v>10</v>
      </c>
      <c r="D13" s="15" t="s">
        <v>112</v>
      </c>
      <c r="E13" s="42">
        <f>Spelarna!C63</f>
        <v>14</v>
      </c>
      <c r="F13" s="15" t="s">
        <v>105</v>
      </c>
      <c r="G13" s="42">
        <f>Spelarna!C58</f>
        <v>10</v>
      </c>
      <c r="H13" s="51" t="s">
        <v>139</v>
      </c>
      <c r="I13" s="42">
        <f>Spelarna!C48</f>
        <v>2</v>
      </c>
      <c r="J13" s="15" t="s">
        <v>108</v>
      </c>
      <c r="K13" s="42">
        <f>Spelarna!C35</f>
        <v>8</v>
      </c>
      <c r="L13" s="15" t="s">
        <v>71</v>
      </c>
      <c r="M13" s="42">
        <f>Spelarna!C28</f>
        <v>9</v>
      </c>
      <c r="N13" s="51" t="s">
        <v>137</v>
      </c>
      <c r="O13" s="42">
        <f>Spelarna!C57</f>
        <v>8</v>
      </c>
    </row>
    <row r="14" spans="1:15" x14ac:dyDescent="0.2">
      <c r="A14" s="9" t="s">
        <v>2</v>
      </c>
      <c r="B14" s="51" t="s">
        <v>146</v>
      </c>
      <c r="C14" s="50">
        <f>Spelarna!C51</f>
        <v>6</v>
      </c>
      <c r="D14" s="51" t="s">
        <v>151</v>
      </c>
      <c r="E14" s="50">
        <f>Spelarna!C31</f>
        <v>9</v>
      </c>
      <c r="F14" s="51" t="s">
        <v>136</v>
      </c>
      <c r="G14" s="50">
        <f>Spelarna!C54</f>
        <v>11</v>
      </c>
      <c r="H14" s="51" t="s">
        <v>144</v>
      </c>
      <c r="I14" s="50">
        <f>Spelarna!C41</f>
        <v>7</v>
      </c>
      <c r="J14" s="51" t="s">
        <v>137</v>
      </c>
      <c r="K14" s="50">
        <f>Spelarna!C57</f>
        <v>8</v>
      </c>
      <c r="L14" s="51" t="s">
        <v>139</v>
      </c>
      <c r="M14" s="50">
        <f>Spelarna!C48</f>
        <v>2</v>
      </c>
      <c r="N14" s="51" t="s">
        <v>136</v>
      </c>
      <c r="O14" s="50">
        <f>Spelarna!C54</f>
        <v>11</v>
      </c>
    </row>
    <row r="15" spans="1:15" ht="8" customHeight="1" x14ac:dyDescent="0.2">
      <c r="B15" s="49"/>
      <c r="C15" s="39"/>
      <c r="D15" s="38"/>
      <c r="E15" s="39"/>
      <c r="F15" s="38"/>
      <c r="G15" s="39"/>
      <c r="H15" s="38"/>
      <c r="I15" s="39"/>
      <c r="J15" s="38"/>
      <c r="K15" s="39"/>
      <c r="L15" s="38"/>
      <c r="M15" s="39"/>
      <c r="N15" s="38"/>
      <c r="O15" s="39"/>
    </row>
    <row r="16" spans="1:15" x14ac:dyDescent="0.2">
      <c r="A16" s="9" t="s">
        <v>3</v>
      </c>
      <c r="B16" s="48"/>
      <c r="C16" s="42"/>
      <c r="D16" s="15"/>
      <c r="E16" s="42"/>
      <c r="F16" s="15"/>
      <c r="G16" s="42"/>
      <c r="H16" s="15"/>
      <c r="I16" s="42"/>
      <c r="J16" s="15"/>
      <c r="K16" s="42"/>
      <c r="L16" s="15"/>
      <c r="M16" s="42"/>
      <c r="N16" s="15"/>
      <c r="O16" s="42"/>
    </row>
    <row r="17" spans="1:15" x14ac:dyDescent="0.2">
      <c r="A17" s="9" t="s">
        <v>1</v>
      </c>
      <c r="B17" s="15" t="s">
        <v>59</v>
      </c>
      <c r="C17" s="42">
        <f>Spelarna!C33</f>
        <v>16</v>
      </c>
      <c r="D17" s="51" t="s">
        <v>135</v>
      </c>
      <c r="E17" s="42">
        <f>Spelarna!C46</f>
        <v>7</v>
      </c>
      <c r="F17" s="51" t="s">
        <v>135</v>
      </c>
      <c r="G17" s="42">
        <f>Spelarna!C46</f>
        <v>7</v>
      </c>
      <c r="H17" s="51" t="s">
        <v>142</v>
      </c>
      <c r="I17" s="42">
        <f>Spelarna!C42</f>
        <v>11</v>
      </c>
      <c r="J17" s="15" t="s">
        <v>51</v>
      </c>
      <c r="K17" s="42">
        <f>Spelarna!C21</f>
        <v>16</v>
      </c>
      <c r="L17" s="15" t="s">
        <v>92</v>
      </c>
      <c r="M17" s="42">
        <f>Spelarna!C50</f>
        <v>12</v>
      </c>
      <c r="N17" s="51" t="s">
        <v>149</v>
      </c>
      <c r="O17" s="42">
        <f>Spelarna!C56</f>
        <v>3</v>
      </c>
    </row>
    <row r="18" spans="1:15" x14ac:dyDescent="0.2">
      <c r="A18" s="9" t="s">
        <v>1</v>
      </c>
      <c r="B18" s="51" t="s">
        <v>142</v>
      </c>
      <c r="C18" s="52">
        <f>Spelarna!C42</f>
        <v>11</v>
      </c>
      <c r="D18" s="51" t="s">
        <v>142</v>
      </c>
      <c r="E18" s="42">
        <f>Spelarna!C42</f>
        <v>11</v>
      </c>
      <c r="F18" s="15" t="s">
        <v>51</v>
      </c>
      <c r="G18" s="42">
        <f>Spelarna!C21</f>
        <v>16</v>
      </c>
      <c r="H18" s="51" t="s">
        <v>135</v>
      </c>
      <c r="I18" s="42">
        <f>Spelarna!C46</f>
        <v>7</v>
      </c>
      <c r="J18" s="51" t="s">
        <v>148</v>
      </c>
      <c r="K18" s="42">
        <f>Spelarna!C18</f>
        <v>10</v>
      </c>
      <c r="L18" s="51" t="s">
        <v>135</v>
      </c>
      <c r="M18" s="42">
        <f>Spelarna!C46</f>
        <v>7</v>
      </c>
      <c r="N18" s="51" t="s">
        <v>142</v>
      </c>
      <c r="O18" s="42">
        <f>Spelarna!C42</f>
        <v>11</v>
      </c>
    </row>
    <row r="19" spans="1:15" x14ac:dyDescent="0.2">
      <c r="A19" s="9" t="s">
        <v>2</v>
      </c>
      <c r="B19" s="51" t="s">
        <v>154</v>
      </c>
      <c r="C19" s="42">
        <f>Spelarna!C36</f>
        <v>11</v>
      </c>
      <c r="D19" s="51" t="s">
        <v>152</v>
      </c>
      <c r="E19" s="42">
        <f>Spelarna!C22</f>
        <v>9</v>
      </c>
      <c r="F19" s="51" t="s">
        <v>137</v>
      </c>
      <c r="G19" s="42">
        <f>Spelarna!C57</f>
        <v>8</v>
      </c>
      <c r="H19" s="15" t="s">
        <v>70</v>
      </c>
      <c r="I19" s="42">
        <f>Spelarna!C26</f>
        <v>13</v>
      </c>
      <c r="J19" s="15" t="s">
        <v>33</v>
      </c>
      <c r="K19" s="42">
        <f>Spelarna!C32</f>
        <v>15</v>
      </c>
      <c r="L19" s="15" t="s">
        <v>108</v>
      </c>
      <c r="M19" s="42">
        <f>Spelarna!C35</f>
        <v>8</v>
      </c>
      <c r="N19" s="51" t="s">
        <v>143</v>
      </c>
      <c r="O19" s="42">
        <f>Spelarna!C19</f>
        <v>12</v>
      </c>
    </row>
    <row r="20" spans="1:15" x14ac:dyDescent="0.2">
      <c r="A20" s="9" t="s">
        <v>2</v>
      </c>
      <c r="B20" s="15" t="s">
        <v>106</v>
      </c>
      <c r="C20" s="42">
        <f>Spelarna!C43</f>
        <v>9</v>
      </c>
      <c r="D20" s="51" t="s">
        <v>153</v>
      </c>
      <c r="E20" s="42">
        <f>Spelarna!C24</f>
        <v>10</v>
      </c>
      <c r="F20" s="51" t="s">
        <v>138</v>
      </c>
      <c r="G20" s="42">
        <f>Spelarna!C47</f>
        <v>8</v>
      </c>
      <c r="H20" s="51" t="s">
        <v>141</v>
      </c>
      <c r="I20" s="42">
        <f>Spelarna!C40</f>
        <v>10</v>
      </c>
      <c r="J20" s="15" t="s">
        <v>109</v>
      </c>
      <c r="K20" s="42">
        <f>Spelarna!C17</f>
        <v>8</v>
      </c>
      <c r="L20" s="51" t="s">
        <v>136</v>
      </c>
      <c r="M20" s="42">
        <f>Spelarna!C54</f>
        <v>11</v>
      </c>
      <c r="N20" s="15" t="s">
        <v>106</v>
      </c>
      <c r="O20" s="42">
        <f>Spelarna!C43</f>
        <v>9</v>
      </c>
    </row>
    <row r="21" spans="1:15" x14ac:dyDescent="0.2">
      <c r="A21" s="9" t="s">
        <v>2</v>
      </c>
      <c r="B21" s="51" t="s">
        <v>158</v>
      </c>
      <c r="C21" s="50">
        <f>Spelarna!C53</f>
        <v>10</v>
      </c>
      <c r="D21" s="51" t="s">
        <v>154</v>
      </c>
      <c r="E21" s="50">
        <f>Spelarna!C36</f>
        <v>11</v>
      </c>
      <c r="F21" s="51" t="s">
        <v>139</v>
      </c>
      <c r="G21" s="50">
        <f>Spelarna!C48</f>
        <v>2</v>
      </c>
      <c r="H21" s="15" t="s">
        <v>91</v>
      </c>
      <c r="I21" s="50">
        <f>Spelarna!C59</f>
        <v>8</v>
      </c>
      <c r="J21" s="51" t="s">
        <v>154</v>
      </c>
      <c r="K21" s="50">
        <f>Spelarna!C36</f>
        <v>11</v>
      </c>
      <c r="L21" s="51" t="s">
        <v>146</v>
      </c>
      <c r="M21" s="50">
        <f>Spelarna!C51</f>
        <v>6</v>
      </c>
      <c r="N21" s="51" t="s">
        <v>150</v>
      </c>
      <c r="O21" s="50">
        <f>Spelarna!C45</f>
        <v>8</v>
      </c>
    </row>
    <row r="22" spans="1:15" ht="11.5" customHeight="1" x14ac:dyDescent="0.2">
      <c r="B22" s="15"/>
      <c r="C22" s="42"/>
      <c r="D22" s="15"/>
      <c r="E22" s="42"/>
      <c r="F22" s="15"/>
      <c r="G22" s="42"/>
      <c r="H22" s="15"/>
      <c r="I22" s="42"/>
      <c r="J22" s="15"/>
      <c r="K22" s="42"/>
      <c r="L22" s="15"/>
      <c r="M22" s="42"/>
      <c r="N22" s="15"/>
      <c r="O22" s="42"/>
    </row>
    <row r="23" spans="1:15" s="12" customFormat="1" ht="16" thickBot="1" x14ac:dyDescent="0.25">
      <c r="A23" s="12" t="s">
        <v>5</v>
      </c>
      <c r="B23" s="13"/>
      <c r="C23" s="14">
        <f>SUM(C6:C21)</f>
        <v>132</v>
      </c>
      <c r="D23" s="13"/>
      <c r="E23" s="14">
        <f>SUM(E6:E21)</f>
        <v>109</v>
      </c>
      <c r="F23" s="13"/>
      <c r="G23" s="14">
        <f>SUM(G6:G21)</f>
        <v>124</v>
      </c>
      <c r="H23" s="13"/>
      <c r="I23" s="14">
        <f>SUM(I6:I21)</f>
        <v>99</v>
      </c>
      <c r="J23" s="43"/>
      <c r="K23" s="44">
        <f>SUM(K6:K21)</f>
        <v>109</v>
      </c>
      <c r="L23" s="43"/>
      <c r="M23" s="44">
        <f>SUM(M6:M21)</f>
        <v>99</v>
      </c>
      <c r="N23" s="43"/>
      <c r="O23" s="44">
        <f>SUM(O6:O21)</f>
        <v>122</v>
      </c>
    </row>
    <row r="25" spans="1:15" x14ac:dyDescent="0.2">
      <c r="A25" s="24" t="s">
        <v>37</v>
      </c>
      <c r="E25" s="5" t="s">
        <v>123</v>
      </c>
      <c r="F25" s="8"/>
      <c r="H25" s="8"/>
      <c r="K25" s="19" t="s">
        <v>128</v>
      </c>
      <c r="L25" s="41"/>
      <c r="N25" s="41"/>
    </row>
    <row r="26" spans="1:15" x14ac:dyDescent="0.2">
      <c r="A26" t="s">
        <v>34</v>
      </c>
      <c r="E26" s="5" t="s">
        <v>124</v>
      </c>
      <c r="I26" s="23"/>
      <c r="K26" s="19" t="s">
        <v>55</v>
      </c>
    </row>
    <row r="27" spans="1:15" x14ac:dyDescent="0.2">
      <c r="E27" s="5" t="s">
        <v>125</v>
      </c>
      <c r="K27" s="19" t="s">
        <v>54</v>
      </c>
    </row>
    <row r="28" spans="1:15" x14ac:dyDescent="0.2">
      <c r="A28" s="24" t="s">
        <v>38</v>
      </c>
      <c r="E28" s="5" t="s">
        <v>126</v>
      </c>
      <c r="K28" s="18"/>
    </row>
    <row r="29" spans="1:15" x14ac:dyDescent="0.2">
      <c r="A29" t="s">
        <v>35</v>
      </c>
      <c r="E29" s="5" t="s">
        <v>127</v>
      </c>
      <c r="K29" s="19" t="s">
        <v>36</v>
      </c>
    </row>
    <row r="30" spans="1:15" x14ac:dyDescent="0.2">
      <c r="A30"/>
      <c r="K30" s="19" t="s">
        <v>56</v>
      </c>
    </row>
    <row r="31" spans="1:15" x14ac:dyDescent="0.2">
      <c r="A31" t="s">
        <v>40</v>
      </c>
    </row>
    <row r="32" spans="1:15" x14ac:dyDescent="0.2">
      <c r="A32" t="s">
        <v>41</v>
      </c>
      <c r="K32" s="19" t="s">
        <v>48</v>
      </c>
    </row>
    <row r="33" spans="4:11" x14ac:dyDescent="0.2">
      <c r="K33" s="19" t="s">
        <v>66</v>
      </c>
    </row>
    <row r="34" spans="4:11" x14ac:dyDescent="0.2">
      <c r="D34" s="40"/>
      <c r="F34" s="40"/>
      <c r="K34" s="19" t="s">
        <v>67</v>
      </c>
    </row>
    <row r="35" spans="4:11" x14ac:dyDescent="0.2">
      <c r="D35" s="40"/>
    </row>
  </sheetData>
  <pageMargins left="0.25" right="0.25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62F3-6BA5-402B-B33D-739A34E84FEA}">
  <dimension ref="A1:O29"/>
  <sheetViews>
    <sheetView zoomScale="150" zoomScaleNormal="150" workbookViewId="0">
      <selection activeCell="C9" sqref="C9"/>
    </sheetView>
  </sheetViews>
  <sheetFormatPr baseColWidth="10" defaultColWidth="8.83203125" defaultRowHeight="15" x14ac:dyDescent="0.2"/>
  <cols>
    <col min="1" max="1" width="11.5" customWidth="1"/>
    <col min="2" max="2" width="15" customWidth="1"/>
    <col min="3" max="3" width="10.5" customWidth="1"/>
    <col min="4" max="4" width="7.6640625" customWidth="1"/>
    <col min="5" max="5" width="10.83203125" customWidth="1"/>
    <col min="6" max="6" width="8" customWidth="1"/>
    <col min="7" max="7" width="21.33203125" bestFit="1" customWidth="1"/>
    <col min="8" max="8" width="6.33203125" style="23" customWidth="1"/>
    <col min="9" max="9" width="18.1640625" customWidth="1"/>
    <col min="10" max="10" width="7" bestFit="1" customWidth="1"/>
    <col min="11" max="11" width="7.6640625" customWidth="1"/>
    <col min="13" max="13" width="13.1640625" customWidth="1"/>
  </cols>
  <sheetData>
    <row r="1" spans="1:15" ht="19" x14ac:dyDescent="0.25">
      <c r="A1" s="34" t="s">
        <v>46</v>
      </c>
    </row>
    <row r="2" spans="1:15" x14ac:dyDescent="0.2">
      <c r="A2" t="s">
        <v>199</v>
      </c>
    </row>
    <row r="3" spans="1:15" x14ac:dyDescent="0.2">
      <c r="A3" s="27" t="s">
        <v>39</v>
      </c>
      <c r="B3" s="6" t="s">
        <v>7</v>
      </c>
      <c r="D3" s="29" t="s">
        <v>192</v>
      </c>
      <c r="E3" s="28"/>
      <c r="F3" s="30" t="s">
        <v>7</v>
      </c>
      <c r="G3" s="54" t="s">
        <v>193</v>
      </c>
      <c r="H3"/>
      <c r="I3" s="27" t="s">
        <v>194</v>
      </c>
      <c r="M3" s="27" t="s">
        <v>195</v>
      </c>
      <c r="O3" s="6" t="s">
        <v>7</v>
      </c>
    </row>
    <row r="4" spans="1:15" ht="16" x14ac:dyDescent="0.25">
      <c r="A4" t="s">
        <v>68</v>
      </c>
      <c r="B4">
        <f>Tipsen!C23</f>
        <v>132</v>
      </c>
      <c r="D4" s="31">
        <f>_xlfn.RANK.EQ(F4,$F$4:F$10,0)</f>
        <v>1</v>
      </c>
      <c r="E4" s="28" t="s">
        <v>68</v>
      </c>
      <c r="F4" s="28">
        <v>132</v>
      </c>
      <c r="G4" s="55">
        <f>ROUND(IF(COUNTIF($D$4:$D$10, D4) &gt; 1, AVERAGE(INDEX($H$4:$H$10,MATCH(D4,$D$4:$D$10, 0)):INDEX($H$4:$H$10,MATCH(D4,$D$4:$D$10,0) + COUNTIF($D$4:$D$10,D4) - 1)), H4),0)</f>
        <v>20</v>
      </c>
      <c r="H4" s="55">
        <v>20</v>
      </c>
      <c r="I4" s="31">
        <f>_xlfn.RANK.EQ(K4,$K$4:$K$10,0)</f>
        <v>5</v>
      </c>
      <c r="J4" s="31" t="s">
        <v>27</v>
      </c>
      <c r="K4" s="31">
        <f>O$8+VLOOKUP(A9,$E$4:$G$10,3,FALSE)</f>
        <v>17</v>
      </c>
      <c r="M4" s="23">
        <v>1</v>
      </c>
      <c r="N4" t="s">
        <v>10</v>
      </c>
      <c r="O4" s="33">
        <v>13</v>
      </c>
    </row>
    <row r="5" spans="1:15" ht="16" x14ac:dyDescent="0.25">
      <c r="A5" t="s">
        <v>24</v>
      </c>
      <c r="B5">
        <f>Tipsen!E23</f>
        <v>109</v>
      </c>
      <c r="D5" s="31">
        <f>_xlfn.RANK.EQ(F5,$F$4:F$10,0)</f>
        <v>2</v>
      </c>
      <c r="E5" s="28" t="s">
        <v>8</v>
      </c>
      <c r="F5" s="28">
        <v>124</v>
      </c>
      <c r="G5" s="55">
        <f>ROUND(IF(COUNTIF($D$4:$D$10, D5) &gt; 1, AVERAGE(INDEX($H$4:$H$10,MATCH(D5,$D$4:$D$10, 0)):INDEX($H$4:$H$10,MATCH(D5,$D$4:$D$10,0) + COUNTIF($D$4:$D$10,D5) - 1)), H5),0)</f>
        <v>16</v>
      </c>
      <c r="H5">
        <v>16</v>
      </c>
      <c r="I5" s="31">
        <f t="shared" ref="I5:I10" si="0">_xlfn.RANK.EQ(K5,$K$4:$K$10,0)</f>
        <v>2</v>
      </c>
      <c r="J5" s="31" t="s">
        <v>26</v>
      </c>
      <c r="K5" s="31">
        <f>O$6+VLOOKUP(A10,$E$4:$G$10,3,FALSE)</f>
        <v>29</v>
      </c>
      <c r="M5" s="23">
        <v>2</v>
      </c>
      <c r="N5" t="s">
        <v>24</v>
      </c>
      <c r="O5" s="33">
        <v>7</v>
      </c>
    </row>
    <row r="6" spans="1:15" ht="16" x14ac:dyDescent="0.25">
      <c r="A6" t="s">
        <v>8</v>
      </c>
      <c r="B6">
        <f>Tipsen!G23</f>
        <v>124</v>
      </c>
      <c r="D6" s="31">
        <f>_xlfn.RANK.EQ(F6,$F$4:F$10,0)</f>
        <v>3</v>
      </c>
      <c r="E6" s="28" t="s">
        <v>26</v>
      </c>
      <c r="F6" s="28">
        <v>122</v>
      </c>
      <c r="G6" s="55">
        <f>ROUND(IF(COUNTIF($D$4:$D$10, D6) &gt; 1, AVERAGE(INDEX($H$4:$H$10,MATCH(D6,$D$4:$D$10, 0)):INDEX($H$4:$H$10,MATCH(D6,$D$4:$D$10,0) + COUNTIF($D$4:$D$10,D6) - 1)), H6),0)</f>
        <v>13</v>
      </c>
      <c r="H6">
        <v>13</v>
      </c>
      <c r="I6" s="31">
        <f t="shared" si="0"/>
        <v>1</v>
      </c>
      <c r="J6" s="31" t="s">
        <v>8</v>
      </c>
      <c r="K6" s="31">
        <f>O$7+VLOOKUP(A6,$E$4:$G$10,3,FALSE)</f>
        <v>36</v>
      </c>
      <c r="M6" s="23">
        <v>3</v>
      </c>
      <c r="N6" t="s">
        <v>26</v>
      </c>
      <c r="O6" s="33">
        <v>16</v>
      </c>
    </row>
    <row r="7" spans="1:15" ht="16" x14ac:dyDescent="0.25">
      <c r="A7" t="s">
        <v>9</v>
      </c>
      <c r="B7">
        <f>Tipsen!I23</f>
        <v>99</v>
      </c>
      <c r="D7" s="31">
        <f>_xlfn.RANK.EQ(F7,$F$4:F$10,0)</f>
        <v>4</v>
      </c>
      <c r="E7" s="28" t="s">
        <v>24</v>
      </c>
      <c r="F7" s="28">
        <v>109</v>
      </c>
      <c r="G7" s="55">
        <f>ROUND(IF(COUNTIF($D$4:$D$10, D7) &gt; 1, AVERAGE(INDEX($H$4:$H$10,MATCH(D7,$D$4:$D$10, 0)):INDEX($H$4:$H$10,MATCH(D7,$D$4:$D$10,0) + COUNTIF($D$4:$D$10,D7) - 1)), H7),0)</f>
        <v>10</v>
      </c>
      <c r="H7">
        <v>11</v>
      </c>
      <c r="I7" s="31">
        <f t="shared" si="0"/>
        <v>4</v>
      </c>
      <c r="J7" s="31" t="s">
        <v>10</v>
      </c>
      <c r="K7" s="31">
        <f>O$4+VLOOKUP(A8,$E$4:$G$10,3,FALSE)</f>
        <v>23</v>
      </c>
      <c r="M7" s="23">
        <v>4</v>
      </c>
      <c r="N7" t="s">
        <v>8</v>
      </c>
      <c r="O7" s="33">
        <v>20</v>
      </c>
    </row>
    <row r="8" spans="1:15" ht="16" x14ac:dyDescent="0.25">
      <c r="A8" t="s">
        <v>10</v>
      </c>
      <c r="B8">
        <f>Tipsen!K23</f>
        <v>109</v>
      </c>
      <c r="D8" s="31">
        <f>_xlfn.RANK.EQ(F8,$F$4:F$10,0)</f>
        <v>4</v>
      </c>
      <c r="E8" s="28" t="s">
        <v>10</v>
      </c>
      <c r="F8" s="28">
        <v>109</v>
      </c>
      <c r="G8" s="55">
        <f>ROUND(IF(COUNTIF($D$4:$D$10, D8) &gt; 1, AVERAGE(INDEX($H$4:$H$10,MATCH(D8,$D$4:$D$10, 0)):INDEX($H$4:$H$10,MATCH(D8,$D$4:$D$10,0) + COUNTIF($D$4:$D$10,D8) - 1)), H8),0)</f>
        <v>10</v>
      </c>
      <c r="H8">
        <v>9</v>
      </c>
      <c r="I8" s="31">
        <f t="shared" si="0"/>
        <v>2</v>
      </c>
      <c r="J8" s="31" t="s">
        <v>68</v>
      </c>
      <c r="K8" s="31">
        <f>O$10+VLOOKUP(A4,$E$4:$G$10,3,FALSE)</f>
        <v>29</v>
      </c>
      <c r="M8" s="23">
        <v>5</v>
      </c>
      <c r="N8" t="s">
        <v>27</v>
      </c>
      <c r="O8" s="33">
        <v>11</v>
      </c>
    </row>
    <row r="9" spans="1:15" ht="16" x14ac:dyDescent="0.25">
      <c r="A9" t="s">
        <v>27</v>
      </c>
      <c r="B9">
        <f>Tipsen!M23</f>
        <v>99</v>
      </c>
      <c r="D9" s="31">
        <f>_xlfn.RANK.EQ(F9,$F$4:F$10,0)</f>
        <v>6</v>
      </c>
      <c r="E9" s="28" t="s">
        <v>9</v>
      </c>
      <c r="F9" s="28">
        <v>99</v>
      </c>
      <c r="G9" s="55">
        <f>ROUND(IF(COUNTIF($D$4:$D$10, D9) &gt; 1, AVERAGE(INDEX($H$4:$H$10,MATCH(D9,$D$4:$D$10, 0)):INDEX($H$4:$H$10,MATCH(D9,$D$4:$D$10,0) + COUNTIF($D$4:$D$10,D9) - 1)), H9),0)</f>
        <v>6</v>
      </c>
      <c r="H9">
        <v>7</v>
      </c>
      <c r="I9" s="31">
        <f t="shared" si="0"/>
        <v>5</v>
      </c>
      <c r="J9" s="31" t="s">
        <v>24</v>
      </c>
      <c r="K9" s="31">
        <f>O$5+VLOOKUP(A5,$E$4:$G$10,3,FALSE)</f>
        <v>17</v>
      </c>
      <c r="M9" s="23">
        <v>6</v>
      </c>
      <c r="N9" t="s">
        <v>9</v>
      </c>
      <c r="O9" s="33">
        <v>5</v>
      </c>
    </row>
    <row r="10" spans="1:15" ht="16" x14ac:dyDescent="0.25">
      <c r="A10" t="s">
        <v>26</v>
      </c>
      <c r="B10">
        <f>Tipsen!O23</f>
        <v>122</v>
      </c>
      <c r="D10" s="31">
        <f>_xlfn.RANK.EQ(F10,$F$4:F$10,0)</f>
        <v>6</v>
      </c>
      <c r="E10" s="28" t="s">
        <v>27</v>
      </c>
      <c r="F10" s="28">
        <v>99</v>
      </c>
      <c r="G10" s="55">
        <f>ROUND(IF(COUNTIF($D$4:$D$10, D10) &gt; 1, AVERAGE(INDEX($H$4:$H$10,MATCH(D10,$D$4:$D$10, 0)):INDEX($H$4:$H$10,MATCH(D10,$D$4:$D$10,0) + COUNTIF($D$4:$D$10,D10) - 1)), H10),0)</f>
        <v>6</v>
      </c>
      <c r="H10">
        <v>5</v>
      </c>
      <c r="I10" s="31">
        <f t="shared" si="0"/>
        <v>7</v>
      </c>
      <c r="J10" s="31" t="s">
        <v>9</v>
      </c>
      <c r="K10" s="31">
        <f>O$9+VLOOKUP(A7,$E$4:$G$10,3,FALSE)</f>
        <v>11</v>
      </c>
      <c r="M10" s="23">
        <v>7</v>
      </c>
      <c r="N10" t="s">
        <v>68</v>
      </c>
      <c r="O10" s="33">
        <v>9</v>
      </c>
    </row>
    <row r="11" spans="1:15" x14ac:dyDescent="0.2">
      <c r="H11"/>
      <c r="L11" s="23"/>
    </row>
    <row r="13" spans="1:15" x14ac:dyDescent="0.2">
      <c r="A13" s="57" t="s">
        <v>194</v>
      </c>
      <c r="B13" s="28"/>
      <c r="C13" s="60" t="s">
        <v>7</v>
      </c>
    </row>
    <row r="14" spans="1:15" x14ac:dyDescent="0.2">
      <c r="A14" s="28">
        <v>1</v>
      </c>
      <c r="B14" s="28" t="s">
        <v>8</v>
      </c>
      <c r="C14" s="28">
        <v>36</v>
      </c>
      <c r="J14" s="35"/>
    </row>
    <row r="15" spans="1:15" x14ac:dyDescent="0.2">
      <c r="A15" s="28">
        <v>2</v>
      </c>
      <c r="B15" s="28" t="s">
        <v>26</v>
      </c>
      <c r="C15" s="28">
        <v>29</v>
      </c>
    </row>
    <row r="16" spans="1:15" x14ac:dyDescent="0.2">
      <c r="A16" s="28">
        <v>2</v>
      </c>
      <c r="B16" s="28" t="s">
        <v>68</v>
      </c>
      <c r="C16" s="28">
        <v>29</v>
      </c>
    </row>
    <row r="17" spans="1:3" x14ac:dyDescent="0.2">
      <c r="A17" s="28">
        <v>4</v>
      </c>
      <c r="B17" s="28" t="s">
        <v>10</v>
      </c>
      <c r="C17" s="28">
        <v>23</v>
      </c>
    </row>
    <row r="18" spans="1:3" x14ac:dyDescent="0.2">
      <c r="A18" s="28">
        <v>5</v>
      </c>
      <c r="B18" s="28" t="s">
        <v>27</v>
      </c>
      <c r="C18" s="28">
        <v>17</v>
      </c>
    </row>
    <row r="19" spans="1:3" x14ac:dyDescent="0.2">
      <c r="A19" s="28">
        <v>5</v>
      </c>
      <c r="B19" s="28" t="s">
        <v>24</v>
      </c>
      <c r="C19" s="28">
        <v>17</v>
      </c>
    </row>
    <row r="20" spans="1:3" x14ac:dyDescent="0.2">
      <c r="A20" s="28">
        <v>7</v>
      </c>
      <c r="B20" s="28" t="s">
        <v>9</v>
      </c>
      <c r="C20" s="28">
        <v>11</v>
      </c>
    </row>
    <row r="22" spans="1:3" x14ac:dyDescent="0.2">
      <c r="A22" s="58" t="s">
        <v>195</v>
      </c>
      <c r="B22" s="53"/>
      <c r="C22" s="59" t="s">
        <v>7</v>
      </c>
    </row>
    <row r="23" spans="1:3" x14ac:dyDescent="0.2">
      <c r="A23" s="56">
        <v>1</v>
      </c>
      <c r="B23" s="25" t="s">
        <v>8</v>
      </c>
      <c r="C23" s="53">
        <v>20</v>
      </c>
    </row>
    <row r="24" spans="1:3" x14ac:dyDescent="0.2">
      <c r="A24" s="56">
        <v>2</v>
      </c>
      <c r="B24" s="25" t="s">
        <v>26</v>
      </c>
      <c r="C24" s="53">
        <v>16</v>
      </c>
    </row>
    <row r="25" spans="1:3" x14ac:dyDescent="0.2">
      <c r="A25" s="56">
        <v>3</v>
      </c>
      <c r="B25" s="25" t="s">
        <v>10</v>
      </c>
      <c r="C25" s="53">
        <v>13</v>
      </c>
    </row>
    <row r="26" spans="1:3" x14ac:dyDescent="0.2">
      <c r="A26" s="56">
        <v>4</v>
      </c>
      <c r="B26" s="25" t="s">
        <v>27</v>
      </c>
      <c r="C26" s="53">
        <v>11</v>
      </c>
    </row>
    <row r="27" spans="1:3" x14ac:dyDescent="0.2">
      <c r="A27" s="56">
        <v>5</v>
      </c>
      <c r="B27" s="25" t="s">
        <v>68</v>
      </c>
      <c r="C27" s="53">
        <v>9</v>
      </c>
    </row>
    <row r="28" spans="1:3" x14ac:dyDescent="0.2">
      <c r="A28" s="56">
        <v>6</v>
      </c>
      <c r="B28" s="25" t="s">
        <v>24</v>
      </c>
      <c r="C28" s="53">
        <v>7</v>
      </c>
    </row>
    <row r="29" spans="1:3" x14ac:dyDescent="0.2">
      <c r="A29" s="56">
        <v>7</v>
      </c>
      <c r="B29" s="25" t="s">
        <v>9</v>
      </c>
      <c r="C29" s="53">
        <v>5</v>
      </c>
    </row>
  </sheetData>
  <sortState xmlns:xlrd2="http://schemas.microsoft.com/office/spreadsheetml/2017/richdata2" ref="A14:C20">
    <sortCondition descending="1" ref="C14:C20"/>
  </sortState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86ea91a9-2a44-4bd1-9209-8b4d2cf4d14b}" enabled="1" method="Privileged" siteId="{e1a2f902-2172-474f-a88a-189ec4f083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Spelarna</vt:lpstr>
      <vt:lpstr>Byten</vt:lpstr>
      <vt:lpstr>Tipsen</vt:lpstr>
      <vt:lpstr>Ställningen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Sjölander</dc:creator>
  <cp:lastModifiedBy>Jarmo Rautiainen</cp:lastModifiedBy>
  <cp:lastPrinted>2018-10-17T09:45:25Z</cp:lastPrinted>
  <dcterms:created xsi:type="dcterms:W3CDTF">2017-10-04T07:23:13Z</dcterms:created>
  <dcterms:modified xsi:type="dcterms:W3CDTF">2026-03-06T21:40:53Z</dcterms:modified>
</cp:coreProperties>
</file>